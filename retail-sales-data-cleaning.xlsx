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cer\Documents\"/>
    </mc:Choice>
  </mc:AlternateContent>
  <xr:revisionPtr revIDLastSave="0" documentId="8_{9253D6E7-71FC-4732-B062-AAD13A3036DF}" xr6:coauthVersionLast="47" xr6:coauthVersionMax="47" xr10:uidLastSave="{00000000-0000-0000-0000-000000000000}"/>
  <bookViews>
    <workbookView xWindow="-108" yWindow="-108" windowWidth="23256" windowHeight="12456" tabRatio="500" activeTab="2" xr2:uid="{00000000-000D-0000-FFFF-FFFF00000000}"/>
  </bookViews>
  <sheets>
    <sheet name="README" sheetId="4" r:id="rId1"/>
    <sheet name="Raw Data" sheetId="1" r:id="rId2"/>
    <sheet name="Clean Data" sheetId="2" r:id="rId3"/>
    <sheet name="Pivot Summary" sheetId="3" r:id="rId4"/>
  </sheets>
  <definedNames>
    <definedName name="_xlnm._FilterDatabase" localSheetId="1" hidden="1">'Clean Data'!$A$1:$J$143</definedName>
    <definedName name="Slicer_Category">#N/A</definedName>
    <definedName name="Slicer_Months__Date">#N/A</definedName>
    <definedName name="Slicer_Payment_Method">#N/A</definedName>
    <definedName name="Slicer_Region">#N/A</definedName>
  </definedNames>
  <calcPr calcId="191029" iterateDelta="1E-4"/>
  <pivotCaches>
    <pivotCache cacheId="3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35" i="2" l="1"/>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alcChain>
</file>

<file path=xl/sharedStrings.xml><?xml version="1.0" encoding="utf-8"?>
<sst xmlns="http://schemas.openxmlformats.org/spreadsheetml/2006/main" count="1924" uniqueCount="499">
  <si>
    <t>Order ID</t>
  </si>
  <si>
    <t>Date</t>
  </si>
  <si>
    <t>Customer Name</t>
  </si>
  <si>
    <t>Region</t>
  </si>
  <si>
    <t>Category</t>
  </si>
  <si>
    <t>Product</t>
  </si>
  <si>
    <t>Quantity</t>
  </si>
  <si>
    <t>Unit Price</t>
  </si>
  <si>
    <t>Payment Method</t>
  </si>
  <si>
    <t>ORD-1063</t>
  </si>
  <si>
    <t>22/04/2026</t>
  </si>
  <si>
    <t>Femi Adewale</t>
  </si>
  <si>
    <t xml:space="preserve">ibadan </t>
  </si>
  <si>
    <t>HOME &amp; KITCHEN</t>
  </si>
  <si>
    <t>Storage Containers</t>
  </si>
  <si>
    <t>Card</t>
  </si>
  <si>
    <t>ORD-1028</t>
  </si>
  <si>
    <t>2026-06-21</t>
  </si>
  <si>
    <t>Kelechi Balogun</t>
  </si>
  <si>
    <t>Lagos</t>
  </si>
  <si>
    <t>Blender</t>
  </si>
  <si>
    <t>Cash</t>
  </si>
  <si>
    <t>ORD-1068</t>
  </si>
  <si>
    <t>Mar 29, 2026</t>
  </si>
  <si>
    <t>Yemi Balogun</t>
  </si>
  <si>
    <t xml:space="preserve">ABUJA </t>
  </si>
  <si>
    <t xml:space="preserve">beauty </t>
  </si>
  <si>
    <t>Shea Butter Cream</t>
  </si>
  <si>
    <t>ORD-1029</t>
  </si>
  <si>
    <t>07/01/2026</t>
  </si>
  <si>
    <t>Emeka Okonkwo</t>
  </si>
  <si>
    <t>port harcourt</t>
  </si>
  <si>
    <t>Home &amp; Kitchen</t>
  </si>
  <si>
    <t>ORD-1030</t>
  </si>
  <si>
    <t>15/02/2026</t>
  </si>
  <si>
    <t>Tunde Yusuf</t>
  </si>
  <si>
    <t xml:space="preserve">Port harcourt </t>
  </si>
  <si>
    <t>ORD-1090</t>
  </si>
  <si>
    <t>Mar 17, 2026</t>
  </si>
  <si>
    <t xml:space="preserve">  Blessing Danjuma  </t>
  </si>
  <si>
    <t>Beauty</t>
  </si>
  <si>
    <t>Face Wash</t>
  </si>
  <si>
    <t>Transfer</t>
  </si>
  <si>
    <t>ORD-1097</t>
  </si>
  <si>
    <t>08/06/2026</t>
  </si>
  <si>
    <t>Ngozi Adeyemi</t>
  </si>
  <si>
    <t xml:space="preserve">Lagos </t>
  </si>
  <si>
    <t>BEAUTY</t>
  </si>
  <si>
    <t>ORD-1023</t>
  </si>
  <si>
    <t>2026-03-19</t>
  </si>
  <si>
    <t>Ibrahim Danjuma</t>
  </si>
  <si>
    <t>Apparel</t>
  </si>
  <si>
    <t>Women's Blouse</t>
  </si>
  <si>
    <t>ORD-1009</t>
  </si>
  <si>
    <t>Apr 30, 2026</t>
  </si>
  <si>
    <t>Segun Adewale</t>
  </si>
  <si>
    <t>Home&amp;Kitchen</t>
  </si>
  <si>
    <t>Cutlery Set</t>
  </si>
  <si>
    <t>ORD-1012</t>
  </si>
  <si>
    <t>Feb 02, 2026</t>
  </si>
  <si>
    <t>Fatima Adeyemi</t>
  </si>
  <si>
    <t xml:space="preserve">ELECTRONICS </t>
  </si>
  <si>
    <t>Bluetooth Speaker</t>
  </si>
  <si>
    <t>ORD-1111</t>
  </si>
  <si>
    <t>05/01/2026</t>
  </si>
  <si>
    <t>Uche Eze</t>
  </si>
  <si>
    <t xml:space="preserve">lagos </t>
  </si>
  <si>
    <t>ORD-1115</t>
  </si>
  <si>
    <t>2026-05-22</t>
  </si>
  <si>
    <t>Grace Eze</t>
  </si>
  <si>
    <t>Groceries</t>
  </si>
  <si>
    <t>Rice 5kg</t>
  </si>
  <si>
    <t>ORD-1003</t>
  </si>
  <si>
    <t>2026-04-08</t>
  </si>
  <si>
    <t>Tunde Bello</t>
  </si>
  <si>
    <t xml:space="preserve">groceries </t>
  </si>
  <si>
    <t>Spaghetti Pack</t>
  </si>
  <si>
    <t>ORD-1075</t>
  </si>
  <si>
    <t>15/03/2026</t>
  </si>
  <si>
    <t>Ada Nwosu</t>
  </si>
  <si>
    <t xml:space="preserve"> Apparel</t>
  </si>
  <si>
    <t>Ankara Fabric</t>
  </si>
  <si>
    <t>ORD-1079</t>
  </si>
  <si>
    <t>Apr 04, 2026</t>
  </si>
  <si>
    <t>Ngozi Danjuma</t>
  </si>
  <si>
    <t>abuja</t>
  </si>
  <si>
    <t>ORD-1112</t>
  </si>
  <si>
    <t>19/05/2026</t>
  </si>
  <si>
    <t>Tunde Danjuma</t>
  </si>
  <si>
    <t>GROCERIES</t>
  </si>
  <si>
    <t>ORD-1001</t>
  </si>
  <si>
    <t>2026-02-05</t>
  </si>
  <si>
    <t xml:space="preserve">  Emeka Okonkwo  </t>
  </si>
  <si>
    <t>Electronics</t>
  </si>
  <si>
    <t>Wireless Earbuds</t>
  </si>
  <si>
    <t>ORD-1104</t>
  </si>
  <si>
    <t>29/04/2026</t>
  </si>
  <si>
    <t>Femi Nwosu</t>
  </si>
  <si>
    <t>ORD-1085</t>
  </si>
  <si>
    <t>Jan 13, 2026</t>
  </si>
  <si>
    <t>Blessing Okafor</t>
  </si>
  <si>
    <t>ORD-1134</t>
  </si>
  <si>
    <t>Apr 26, 2026</t>
  </si>
  <si>
    <t>Kelechi Bello</t>
  </si>
  <si>
    <t>Hair Relaxer</t>
  </si>
  <si>
    <t>ORD-1054</t>
  </si>
  <si>
    <t>31/05/2026</t>
  </si>
  <si>
    <t>Grace Yusuf</t>
  </si>
  <si>
    <t>Cooking Oil 2L</t>
  </si>
  <si>
    <t>ORD-1126</t>
  </si>
  <si>
    <t>25/03/2026</t>
  </si>
  <si>
    <t>Perfume</t>
  </si>
  <si>
    <t>ORD-1082</t>
  </si>
  <si>
    <t>2026-01-12</t>
  </si>
  <si>
    <t>Tunde Adeyemi</t>
  </si>
  <si>
    <t>Port Harcourt</t>
  </si>
  <si>
    <t>ORD-1086</t>
  </si>
  <si>
    <t>2026-03-12</t>
  </si>
  <si>
    <t>ORD-1135</t>
  </si>
  <si>
    <t>May 13, 2026</t>
  </si>
  <si>
    <t>Chinedu Bello</t>
  </si>
  <si>
    <t>Ibadan</t>
  </si>
  <si>
    <t>Sugar 1kg</t>
  </si>
  <si>
    <t>ORD-1039</t>
  </si>
  <si>
    <t>2026-01-21</t>
  </si>
  <si>
    <t>Kelechi Danjuma</t>
  </si>
  <si>
    <t>ORD-1070</t>
  </si>
  <si>
    <t>2026-04-09</t>
  </si>
  <si>
    <t>Grace Balogun</t>
  </si>
  <si>
    <t>ORD-1133</t>
  </si>
  <si>
    <t>23/01/2026</t>
  </si>
  <si>
    <t>Ngozi Adewale</t>
  </si>
  <si>
    <t>IBADAN</t>
  </si>
  <si>
    <t>Jeans</t>
  </si>
  <si>
    <t>ORD-1096</t>
  </si>
  <si>
    <t>2026-05-16</t>
  </si>
  <si>
    <t>Ada Bello</t>
  </si>
  <si>
    <t>ORD-1103</t>
  </si>
  <si>
    <t>2026-05-11</t>
  </si>
  <si>
    <t xml:space="preserve">  Tunde Danjuma  </t>
  </si>
  <si>
    <t>ORD-1092</t>
  </si>
  <si>
    <t>Jan 24, 2026</t>
  </si>
  <si>
    <t>Grace Bello</t>
  </si>
  <si>
    <t>ORD-1004</t>
  </si>
  <si>
    <t>2026-04-03</t>
  </si>
  <si>
    <t>Zainab Adewale</t>
  </si>
  <si>
    <t>Table Lamp</t>
  </si>
  <si>
    <t>ORD-1015</t>
  </si>
  <si>
    <t>Mar 04, 2026</t>
  </si>
  <si>
    <t>David Nwosu</t>
  </si>
  <si>
    <t>Abuja</t>
  </si>
  <si>
    <t>Lip Gloss</t>
  </si>
  <si>
    <t>ORD-1121</t>
  </si>
  <si>
    <t>2026-06-12</t>
  </si>
  <si>
    <t>Grace Okafor</t>
  </si>
  <si>
    <t>ORD-1045</t>
  </si>
  <si>
    <t>Ngozi Okonkwo</t>
  </si>
  <si>
    <t>ORD-1083</t>
  </si>
  <si>
    <t>09/02/2026</t>
  </si>
  <si>
    <t xml:space="preserve">  Chioma Adewale  </t>
  </si>
  <si>
    <t>ORD-1057</t>
  </si>
  <si>
    <t>05/06/2026</t>
  </si>
  <si>
    <t>Fatima Balogun</t>
  </si>
  <si>
    <t>electronics</t>
  </si>
  <si>
    <t>ORD-1114</t>
  </si>
  <si>
    <t>2026-04-29</t>
  </si>
  <si>
    <t>ORD-1027</t>
  </si>
  <si>
    <t>2026-04-01</t>
  </si>
  <si>
    <t>Emeka Bello</t>
  </si>
  <si>
    <t>Phone Charger</t>
  </si>
  <si>
    <t>ORD-1008</t>
  </si>
  <si>
    <t>2026-02-26</t>
  </si>
  <si>
    <t>Segun Eze</t>
  </si>
  <si>
    <t>ORD-1053</t>
  </si>
  <si>
    <t>20/03/2026</t>
  </si>
  <si>
    <t xml:space="preserve">  Ibrahim Yusuf  </t>
  </si>
  <si>
    <t>ORD-1136</t>
  </si>
  <si>
    <t>Jun 12, 2026</t>
  </si>
  <si>
    <t xml:space="preserve">  Yemi Okonkwo  </t>
  </si>
  <si>
    <t>ORD-1117</t>
  </si>
  <si>
    <t>16/06/2026</t>
  </si>
  <si>
    <t>apparel</t>
  </si>
  <si>
    <t>Men's T-Shirt</t>
  </si>
  <si>
    <t>ORD-1031</t>
  </si>
  <si>
    <t>07/03/2026</t>
  </si>
  <si>
    <t xml:space="preserve">  David Okonkwo  </t>
  </si>
  <si>
    <t>ORD-1055</t>
  </si>
  <si>
    <t>28/06/2026</t>
  </si>
  <si>
    <t>Fatima Yusuf</t>
  </si>
  <si>
    <t>ORD-1116</t>
  </si>
  <si>
    <t>31/03/2026</t>
  </si>
  <si>
    <t>Emeka Nwosu</t>
  </si>
  <si>
    <t>ORD-1046</t>
  </si>
  <si>
    <t>May 29, 2026</t>
  </si>
  <si>
    <t>Zainab Bello</t>
  </si>
  <si>
    <t>ORD-1032</t>
  </si>
  <si>
    <t>Mar 21, 2026</t>
  </si>
  <si>
    <t xml:space="preserve">  Zainab Danjuma  </t>
  </si>
  <si>
    <t>ORD-1035</t>
  </si>
  <si>
    <t>12/01/2026</t>
  </si>
  <si>
    <t>Ngozi Okafor</t>
  </si>
  <si>
    <t>ORD-1076</t>
  </si>
  <si>
    <t>May 04, 2026</t>
  </si>
  <si>
    <t>Amaka Balogun</t>
  </si>
  <si>
    <t>ORD-1033</t>
  </si>
  <si>
    <t>Apr 14, 2026</t>
  </si>
  <si>
    <t>David Yusuf</t>
  </si>
  <si>
    <t>ORD-1022</t>
  </si>
  <si>
    <t>26/01/2026</t>
  </si>
  <si>
    <t>Blessing Adewale</t>
  </si>
  <si>
    <t xml:space="preserve"> LAGOS</t>
  </si>
  <si>
    <t>Power Bank</t>
  </si>
  <si>
    <t>ORD-1038</t>
  </si>
  <si>
    <t>13/06/2026</t>
  </si>
  <si>
    <t>Yemi Okonkwo</t>
  </si>
  <si>
    <t>Tomato Paste</t>
  </si>
  <si>
    <t>ORD-1125</t>
  </si>
  <si>
    <t>05/04/2026</t>
  </si>
  <si>
    <t>Grace Nwosu</t>
  </si>
  <si>
    <t>ORD-1122</t>
  </si>
  <si>
    <t>20/05/2026</t>
  </si>
  <si>
    <t>Chinedu Eze</t>
  </si>
  <si>
    <t>ORD-1089</t>
  </si>
  <si>
    <t>2026-01-19</t>
  </si>
  <si>
    <t>Non-stick Pan</t>
  </si>
  <si>
    <t>ORD-1011</t>
  </si>
  <si>
    <t>2026-01-05</t>
  </si>
  <si>
    <t>Kelechi Nwosu</t>
  </si>
  <si>
    <t>ORD-1021</t>
  </si>
  <si>
    <t>03/03/2026</t>
  </si>
  <si>
    <t>Amaka Eze</t>
  </si>
  <si>
    <t>ORD-1040</t>
  </si>
  <si>
    <t>Jan 16, 2026</t>
  </si>
  <si>
    <t>Ibrahim Balogun</t>
  </si>
  <si>
    <t>ORD-1060</t>
  </si>
  <si>
    <t>2026-01-30</t>
  </si>
  <si>
    <t>ORD-1042</t>
  </si>
  <si>
    <t>2026-05-17</t>
  </si>
  <si>
    <t>ORD-1093</t>
  </si>
  <si>
    <t>20/06/2026</t>
  </si>
  <si>
    <t xml:space="preserve">  Chioma Eze  </t>
  </si>
  <si>
    <t>ORD-1020</t>
  </si>
  <si>
    <t>2026-01-18</t>
  </si>
  <si>
    <t>Bimpe Adeyemi</t>
  </si>
  <si>
    <t>ORD-1059</t>
  </si>
  <si>
    <t>Mar 16, 2026</t>
  </si>
  <si>
    <t>Blessing Nwosu</t>
  </si>
  <si>
    <t>ORD-1067</t>
  </si>
  <si>
    <t>16/03/2026</t>
  </si>
  <si>
    <t>Ngozi Nwosu</t>
  </si>
  <si>
    <t>ORD-1007</t>
  </si>
  <si>
    <t>Jun 14, 2026</t>
  </si>
  <si>
    <t>ORD-1043</t>
  </si>
  <si>
    <t>ORD-1124</t>
  </si>
  <si>
    <t>13/01/2026</t>
  </si>
  <si>
    <t>Zainab Eze</t>
  </si>
  <si>
    <t>ORD-1005</t>
  </si>
  <si>
    <t>Apr 05, 2026</t>
  </si>
  <si>
    <t>Aisha Adeyemi</t>
  </si>
  <si>
    <t>ORD-1074</t>
  </si>
  <si>
    <t>Jun 06, 2026</t>
  </si>
  <si>
    <t xml:space="preserve">  Femi Bello  </t>
  </si>
  <si>
    <t>ORD-1106</t>
  </si>
  <si>
    <t>Jun 15, 2026</t>
  </si>
  <si>
    <t>ORD-1095</t>
  </si>
  <si>
    <t>2026-02-16</t>
  </si>
  <si>
    <t>Yemi Okafor</t>
  </si>
  <si>
    <t>ORD-1105</t>
  </si>
  <si>
    <t>Jun 11, 2026</t>
  </si>
  <si>
    <t xml:space="preserve">  Grace Nwosu  </t>
  </si>
  <si>
    <t>ORD-1066</t>
  </si>
  <si>
    <t>Tunde Okafor</t>
  </si>
  <si>
    <t>Kids Sneakers</t>
  </si>
  <si>
    <t>ORD-1078</t>
  </si>
  <si>
    <t>2026-03-21</t>
  </si>
  <si>
    <t xml:space="preserve">  Tunde Okafor  </t>
  </si>
  <si>
    <t>ORD-1026</t>
  </si>
  <si>
    <t>2026-05-20</t>
  </si>
  <si>
    <t xml:space="preserve">  Bimpe Adeyemi  </t>
  </si>
  <si>
    <t>ORD-1019</t>
  </si>
  <si>
    <t>Chinedu Adewale</t>
  </si>
  <si>
    <t>ORD-1100</t>
  </si>
  <si>
    <t>28/02/2026</t>
  </si>
  <si>
    <t xml:space="preserve">  Segun Danjuma  </t>
  </si>
  <si>
    <t>ORD-1102</t>
  </si>
  <si>
    <t>Apr 22, 2026</t>
  </si>
  <si>
    <t>Tunde Okonkwo</t>
  </si>
  <si>
    <t>ORD-1044</t>
  </si>
  <si>
    <t>2026-01-14</t>
  </si>
  <si>
    <t>Ada Danjuma</t>
  </si>
  <si>
    <t>ORD-1048</t>
  </si>
  <si>
    <t>Apr 03, 2026</t>
  </si>
  <si>
    <t>Tunde Balogun</t>
  </si>
  <si>
    <t>ORD-1051</t>
  </si>
  <si>
    <t>Amaka Bello</t>
  </si>
  <si>
    <t>ORD-1138</t>
  </si>
  <si>
    <t>10/06/2026</t>
  </si>
  <si>
    <t>ORD-1017</t>
  </si>
  <si>
    <t>Fatima Bello</t>
  </si>
  <si>
    <t>ORD-1016</t>
  </si>
  <si>
    <t>2026-03-28</t>
  </si>
  <si>
    <t>Chinedu Balogun</t>
  </si>
  <si>
    <t>ORD-1139</t>
  </si>
  <si>
    <t>Apr 29, 2026</t>
  </si>
  <si>
    <t>Chioma Nwosu</t>
  </si>
  <si>
    <t>ORD-1088</t>
  </si>
  <si>
    <t>2026-06-07</t>
  </si>
  <si>
    <t xml:space="preserve">  Uche Okonkwo  </t>
  </si>
  <si>
    <t>ORD-1080</t>
  </si>
  <si>
    <t>May 23, 2026</t>
  </si>
  <si>
    <t xml:space="preserve">  Emeka Balogun  </t>
  </si>
  <si>
    <t>ORD-1036</t>
  </si>
  <si>
    <t>Jun 17, 2026</t>
  </si>
  <si>
    <t>Emeka Adeyemi</t>
  </si>
  <si>
    <t>home and kitchen</t>
  </si>
  <si>
    <t>ORD-1099</t>
  </si>
  <si>
    <t>22/02/2026</t>
  </si>
  <si>
    <t xml:space="preserve">  Chinedu Okafor  </t>
  </si>
  <si>
    <t>ORD-1058</t>
  </si>
  <si>
    <t>2026-06-10</t>
  </si>
  <si>
    <t>ORD-1065</t>
  </si>
  <si>
    <t>ORD-1050</t>
  </si>
  <si>
    <t>16/02/2026</t>
  </si>
  <si>
    <t>ORD-1010</t>
  </si>
  <si>
    <t>2026-02-15</t>
  </si>
  <si>
    <t>Yemi Danjuma</t>
  </si>
  <si>
    <t>ORD-1119</t>
  </si>
  <si>
    <t>Apr 28, 2026</t>
  </si>
  <si>
    <t>Chioma Adewale</t>
  </si>
  <si>
    <t>ORD-1071</t>
  </si>
  <si>
    <t>Ngozi Balogun</t>
  </si>
  <si>
    <t>ORD-1107</t>
  </si>
  <si>
    <t>2026-06-04</t>
  </si>
  <si>
    <t>USB Cable</t>
  </si>
  <si>
    <t>ORD-1025</t>
  </si>
  <si>
    <t>Jan 01, 2026</t>
  </si>
  <si>
    <t>ORD-1072</t>
  </si>
  <si>
    <t>2026-01-10</t>
  </si>
  <si>
    <t>Grace Danjuma</t>
  </si>
  <si>
    <t>ORD-1073</t>
  </si>
  <si>
    <t>08/01/2026</t>
  </si>
  <si>
    <t>Femi Yusuf</t>
  </si>
  <si>
    <t>ORD-1123</t>
  </si>
  <si>
    <t>Zainab Okonkwo</t>
  </si>
  <si>
    <t>ORD-1137</t>
  </si>
  <si>
    <t>Mar 28, 2026</t>
  </si>
  <si>
    <t>ORD-1110</t>
  </si>
  <si>
    <t>03/02/2026</t>
  </si>
  <si>
    <t>Zainab Balogun</t>
  </si>
  <si>
    <t>ORD-1052</t>
  </si>
  <si>
    <t>Jun 27, 2026</t>
  </si>
  <si>
    <t>Emeka Balogun</t>
  </si>
  <si>
    <t>ORD-1098</t>
  </si>
  <si>
    <t>21/04/2026</t>
  </si>
  <si>
    <t>Tunde Eze</t>
  </si>
  <si>
    <t>ORD-1047</t>
  </si>
  <si>
    <t>25/05/2026</t>
  </si>
  <si>
    <t xml:space="preserve">  Blessing Bello  </t>
  </si>
  <si>
    <t>ORD-1094</t>
  </si>
  <si>
    <t>23/05/2026</t>
  </si>
  <si>
    <t>ORD-1034</t>
  </si>
  <si>
    <t>2026-02-13</t>
  </si>
  <si>
    <t>Uche Nwosu</t>
  </si>
  <si>
    <t>ORD-1018</t>
  </si>
  <si>
    <t>Mar 09, 2026</t>
  </si>
  <si>
    <t>Ada Balogun</t>
  </si>
  <si>
    <t>ORD-1131</t>
  </si>
  <si>
    <t>Ngozi Bello</t>
  </si>
  <si>
    <t>ORD-1014</t>
  </si>
  <si>
    <t>2026-02-28</t>
  </si>
  <si>
    <t>Bimpe Okafor</t>
  </si>
  <si>
    <t>ORD-1109</t>
  </si>
  <si>
    <t>ORD-1002</t>
  </si>
  <si>
    <t>2026-04-18</t>
  </si>
  <si>
    <t>Amaka Danjuma</t>
  </si>
  <si>
    <t>ORD-1069</t>
  </si>
  <si>
    <t>2026-03-27</t>
  </si>
  <si>
    <t>ORD-1127</t>
  </si>
  <si>
    <t>Mar 12, 2026</t>
  </si>
  <si>
    <t>Blessing Balogun</t>
  </si>
  <si>
    <t>ORD-1061</t>
  </si>
  <si>
    <t>26/06/2026</t>
  </si>
  <si>
    <t>Tunde Nwosu</t>
  </si>
  <si>
    <t>ORD-1087</t>
  </si>
  <si>
    <t>ORD-1108</t>
  </si>
  <si>
    <t>23/04/2026</t>
  </si>
  <si>
    <t>ORD-1113</t>
  </si>
  <si>
    <t>04/04/2026</t>
  </si>
  <si>
    <t>ORD-1077</t>
  </si>
  <si>
    <t>2026-06-25</t>
  </si>
  <si>
    <t>Ada Adewale</t>
  </si>
  <si>
    <t>ORD-1064</t>
  </si>
  <si>
    <t>19/06/2026</t>
  </si>
  <si>
    <t>ORD-1037</t>
  </si>
  <si>
    <t>24/05/2026</t>
  </si>
  <si>
    <t>ORD-1129</t>
  </si>
  <si>
    <t>May 27, 2026</t>
  </si>
  <si>
    <t>Ibrahim Bello</t>
  </si>
  <si>
    <t>ORD-1013</t>
  </si>
  <si>
    <t xml:space="preserve">  Segun Eze  </t>
  </si>
  <si>
    <t>ORD-1091</t>
  </si>
  <si>
    <t>2026-04-16</t>
  </si>
  <si>
    <t>Ibrahim Okonkwo</t>
  </si>
  <si>
    <t>ORD-1056</t>
  </si>
  <si>
    <t>2026-01-17</t>
  </si>
  <si>
    <t>ORD-1062</t>
  </si>
  <si>
    <t xml:space="preserve">  Yemi Okafor  </t>
  </si>
  <si>
    <t>ORD-1118</t>
  </si>
  <si>
    <t>ORD-1130</t>
  </si>
  <si>
    <t>2026-05-24</t>
  </si>
  <si>
    <t>Uche Balogun</t>
  </si>
  <si>
    <t>ORD-1101</t>
  </si>
  <si>
    <t>Segun Balogun</t>
  </si>
  <si>
    <t>ORD-1024</t>
  </si>
  <si>
    <t>Feb 23, 2026</t>
  </si>
  <si>
    <t>ORD-1006</t>
  </si>
  <si>
    <t>Segun Yusuf</t>
  </si>
  <si>
    <t>ORD-1140</t>
  </si>
  <si>
    <t>Aisha Danjuma</t>
  </si>
  <si>
    <t>ORD-1120</t>
  </si>
  <si>
    <t>Mar 03, 2026</t>
  </si>
  <si>
    <t>Blessing Eze</t>
  </si>
  <si>
    <t>ORD-1132</t>
  </si>
  <si>
    <t>03/04/2026</t>
  </si>
  <si>
    <t xml:space="preserve">  Femi Adeyemi  </t>
  </si>
  <si>
    <t>ORD-1128</t>
  </si>
  <si>
    <t>02/02/2026</t>
  </si>
  <si>
    <t>Ibrahim Okafor</t>
  </si>
  <si>
    <t>ORD-1049</t>
  </si>
  <si>
    <t>2026-03-10</t>
  </si>
  <si>
    <t>ORD-1081</t>
  </si>
  <si>
    <t>2026-05-01</t>
  </si>
  <si>
    <t>ORD-1084</t>
  </si>
  <si>
    <t>25/06/2026</t>
  </si>
  <si>
    <t>Aisha Bello</t>
  </si>
  <si>
    <t>ORD-1041</t>
  </si>
  <si>
    <t>Fatima Adewale</t>
  </si>
  <si>
    <t>Total</t>
  </si>
  <si>
    <t>Chinedu Okafor</t>
  </si>
  <si>
    <t>Segun Danjuma</t>
  </si>
  <si>
    <t>Femi Adeyemi</t>
  </si>
  <si>
    <t>David Okonkwo</t>
  </si>
  <si>
    <t>Blessing Danjuma</t>
  </si>
  <si>
    <t>Ibrahim Yusuf</t>
  </si>
  <si>
    <t>Zainab Danjuma</t>
  </si>
  <si>
    <t>Blessing Bello</t>
  </si>
  <si>
    <t>Femi Bello</t>
  </si>
  <si>
    <t>Uche Okonkwo</t>
  </si>
  <si>
    <t>Chioma Eze</t>
  </si>
  <si>
    <t>Grand Total</t>
  </si>
  <si>
    <t>Jan</t>
  </si>
  <si>
    <t>Feb</t>
  </si>
  <si>
    <t>Mar</t>
  </si>
  <si>
    <t>Apr</t>
  </si>
  <si>
    <t>May</t>
  </si>
  <si>
    <t>Jun</t>
  </si>
  <si>
    <t xml:space="preserve">Order  </t>
  </si>
  <si>
    <t>Total Sales in (₦)</t>
  </si>
  <si>
    <t xml:space="preserve"> Order</t>
  </si>
  <si>
    <t xml:space="preserve"> Total Sales in (₦)</t>
  </si>
  <si>
    <t>SALES BY REGION</t>
  </si>
  <si>
    <t>SALES BY CATEGORY</t>
  </si>
  <si>
    <t>MONTHLY SALES TREND</t>
  </si>
  <si>
    <t>Retail Sales Performance Dashboard</t>
  </si>
  <si>
    <t>134 cleaned orders across 4 regions · Jan–Jun 2026</t>
  </si>
  <si>
    <t>Retail Sales Data Cleaning &amp; Analysis</t>
  </si>
  <si>
    <t>A self-directed Excel practice project — raw data cleaning, PivotTable summarization, and chart reporting.</t>
  </si>
  <si>
    <t>Overview</t>
  </si>
  <si>
    <t>This workbook takes a deliberately messy 148-row retail sales export and turns it into a clean, analysis-ready dataset with a summary report. It's a practice dataset (not real business data) built to demonstrate a full data-cleaning-to-reporting workflow in Excel: identifying data quality issues, resolving them with a documented and defensible method, and summarizing results with a native Excel PivotTable, slicers, and charts.</t>
  </si>
  <si>
    <t>What's in this file</t>
  </si>
  <si>
    <t>• Raw Data — the sales export exactly as received: inconsistent date formats, inconsistent text casing/spacing, missing values, and duplicate orders.</t>
  </si>
  <si>
    <t>• Clean Data — the same 148 rows after cleaning, reduced to 134 verified records, with a Date_Confidence column flagging any assumption made during date cleanup.</t>
  </si>
  <si>
    <t>• Pivot Summary — a dashboard with total sales and order counts by Region, Category, and Month, each with an interactive chart and slicer filters (Region, Category, Month, Payment Method).</t>
  </si>
  <si>
    <t>Data cleaning process</t>
  </si>
  <si>
    <t>1. Standardized three mixed date formats (ISO, DD/MM/YYYY-style, and "Mon DD, YYYY" text) into one consistent date format.</t>
  </si>
  <si>
    <t>2. Removed stray leading/trailing whitespace from text fields (customer names, etc).</t>
  </si>
  <si>
    <t>3. Standardized inconsistent capitalization and spacing across Region and Category (e.g. 'lagos ', 'LAGOS' → 'Lagos').</t>
  </si>
  <si>
    <t>4. Removed 8 exact duplicate order rows, matched on Order ID.</t>
  </si>
  <si>
    <t>5. Dropped 6 rows with a missing Quantity or Unit Price, rather than estimating a figure that would misstate revenue.</t>
  </si>
  <si>
    <t>6. Rebuilt Total as a live formula (Quantity × Unit Price) instead of a static number.</t>
  </si>
  <si>
    <t>7. Summarized the cleaned data with a native Excel PivotTable (Region, Category, and Month breakdowns), added slicers for interactive filtering, and built a chart for each breakdown.</t>
  </si>
  <si>
    <t>Handling ambiguous dates</t>
  </si>
  <si>
    <t>Some dates in the raw export used a slash format where neither number is unambiguously a day or a month (e.g. 07/01/2026 could mean 7 January or 1 July). Rather than guess silently, every date field was checked: if one of the two numbers is greater than 12, the format is provable from the text itself. Where both numbers were 12 or under, the date was genuinely ambiguous — those cases were resolved using the Day/Month convention confirmed by the unambiguous dates elsewhere in the same export, and each one is labeled Assumed rather than Confirmed in the Date_Confidence column so the assumption stays visible instead of hidden.</t>
  </si>
  <si>
    <t>Result: 118 of 134 dates are Confirmed directly from the source text; 16 are Assumed under the documented rule above and flagged for review.</t>
  </si>
  <si>
    <t>Row counts</t>
  </si>
  <si>
    <t>Raw rows received: 148</t>
  </si>
  <si>
    <t>Duplicate rows removed: 8</t>
  </si>
  <si>
    <t>Rows dropped for missing Quantity/Unit Price: 6</t>
  </si>
  <si>
    <t>Clean rows analyzed: 134</t>
  </si>
  <si>
    <t>Key findings</t>
  </si>
  <si>
    <t>• Lagos was the top-performing region (₦960,300 across 40 orders); Abuja was lowest (₦788,700).</t>
  </si>
  <si>
    <t>• Beauty led all categories by revenue (₦915,400), narrowly ahead of Home &amp; Kitchen (₦815,500); Apparel trailed all categories (₦448,000).</t>
  </si>
  <si>
    <t>• Monthly sales were uneven — April was the strongest month (₦847,200) and February the weakest (₦330,900), suggesting a seasonal or promotional pattern worth investigating further.</t>
  </si>
  <si>
    <t>Tools used</t>
  </si>
  <si>
    <t>Microsoft Excel — TRIM/PROPER text cleaning, date-format reconciliation, Remove Duplicates, a native PivotTable with slicers (Region, Category, Month, Payment Method), and bar/line charts.</t>
  </si>
  <si>
    <t>Note on the data</t>
  </si>
  <si>
    <t>This dataset was generated for practice purposes and does not represent a real business. It was designed to include realistic data quality issues (mixed formats, duplicates, missing values, ambiguous dates) so the cleaning process could be demonstrated end to end.</t>
  </si>
  <si>
    <t>Author</t>
  </si>
  <si>
    <t>Elijah Bonny — linkedin.com/in/elijah-bonny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</si>
</sst>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6" formatCode="yyyy\-mm\-dd"/>
    <numFmt numFmtId="171" formatCode="_-[$₦-466]\ * #,##0_-;\-[$₦-466]\ * #,##0_-;_-[$₦-466]\ * &quot;-&quot;??_-;_-@_-"/>
  </numFmts>
  <fonts count="16" x14ac:knownFonts="1">
    <font>
      <sz val="11"/>
      <color theme="1"/>
      <name val="Calibri"/>
      <family val="2"/>
      <charset val="1"/>
    </font>
    <font>
      <b/>
      <sz val="11"/>
      <color rgb="FFFFFFFF"/>
      <name val="Arial"/>
      <family val="2"/>
    </font>
    <font>
      <i/>
      <sz val="9"/>
      <color rgb="FF777777"/>
      <name val="Arial"/>
      <family val="2"/>
    </font>
    <font>
      <sz val="10"/>
      <name val="Arial"/>
      <family val="2"/>
    </font>
    <font>
      <b/>
      <sz val="11"/>
      <color rgb="FFFFFFFF"/>
      <name val="Arial"/>
      <family val="2"/>
      <charset val="1"/>
    </font>
    <font>
      <sz val="10"/>
      <name val="Arial"/>
      <family val="2"/>
      <charset val="1"/>
    </font>
    <font>
      <sz val="11"/>
      <color theme="1"/>
      <name val="Times New Roman"/>
      <family val="1"/>
    </font>
    <font>
      <sz val="12"/>
      <color theme="1"/>
      <name val="Times New Roman"/>
      <family val="1"/>
    </font>
    <font>
      <b/>
      <sz val="12"/>
      <color theme="1"/>
      <name val="Arial"/>
      <family val="2"/>
    </font>
    <font>
      <b/>
      <sz val="13"/>
      <color theme="3"/>
      <name val="Arial"/>
      <family val="2"/>
    </font>
    <font>
      <b/>
      <sz val="13"/>
      <color rgb="FF1F3864"/>
      <name val="Arial"/>
      <family val="2"/>
    </font>
    <font>
      <b/>
      <sz val="11"/>
      <color theme="1"/>
      <name val="Arial"/>
      <family val="2"/>
    </font>
    <font>
      <b/>
      <sz val="16"/>
      <color theme="0"/>
      <name val="Arial"/>
      <family val="2"/>
    </font>
    <font>
      <b/>
      <sz val="18"/>
      <color theme="0"/>
      <name val="Arial"/>
      <family val="2"/>
    </font>
    <font>
      <b/>
      <sz val="18"/>
      <color rgb="FF1F3864"/>
      <name val="Arial"/>
      <family val="2"/>
    </font>
    <font>
      <sz val="11"/>
      <color theme="0"/>
      <name val="Arial"/>
      <family val="2"/>
    </font>
  </fonts>
  <fills count="4">
    <fill>
      <patternFill patternType="none"/>
    </fill>
    <fill>
      <patternFill patternType="gray125"/>
    </fill>
    <fill>
      <patternFill patternType="solid">
        <fgColor rgb="FF1F3864"/>
        <bgColor rgb="FF333333"/>
      </patternFill>
    </fill>
    <fill>
      <patternFill patternType="solid">
        <fgColor theme="3"/>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xf>
    <xf numFmtId="0" fontId="2" fillId="0" borderId="0" xfId="0" applyFont="1"/>
    <xf numFmtId="0" fontId="3" fillId="0" borderId="1" xfId="0" applyFont="1" applyBorder="1"/>
    <xf numFmtId="164" fontId="0" fillId="0" borderId="0" xfId="0" applyNumberFormat="1"/>
    <xf numFmtId="164" fontId="1" fillId="2" borderId="1" xfId="0" applyNumberFormat="1" applyFont="1" applyFill="1" applyBorder="1" applyAlignment="1">
      <alignment horizontal="center"/>
    </xf>
    <xf numFmtId="0" fontId="4" fillId="2" borderId="1" xfId="0" applyFont="1" applyFill="1" applyBorder="1" applyAlignment="1">
      <alignment horizontal="center"/>
    </xf>
    <xf numFmtId="166" fontId="0" fillId="0" borderId="0" xfId="0" applyNumberFormat="1"/>
    <xf numFmtId="0" fontId="5" fillId="0" borderId="1" xfId="0" applyFont="1" applyBorder="1"/>
    <xf numFmtId="0" fontId="6" fillId="0" borderId="0" xfId="0" applyFont="1"/>
    <xf numFmtId="3" fontId="6" fillId="0" borderId="0" xfId="0" applyNumberFormat="1" applyFont="1"/>
    <xf numFmtId="3" fontId="7" fillId="0" borderId="0" xfId="0" applyNumberFormat="1" applyFont="1"/>
    <xf numFmtId="0" fontId="8" fillId="0" borderId="0" xfId="0" pivotButton="1" applyFont="1"/>
    <xf numFmtId="0" fontId="8" fillId="0" borderId="0" xfId="0" applyFont="1"/>
    <xf numFmtId="0" fontId="9" fillId="0" borderId="0" xfId="0" applyFont="1"/>
    <xf numFmtId="0" fontId="10" fillId="0" borderId="0" xfId="0" applyFont="1"/>
    <xf numFmtId="0" fontId="11" fillId="0" borderId="0" xfId="0" applyFont="1" applyAlignment="1">
      <alignment horizontal="left"/>
    </xf>
    <xf numFmtId="0" fontId="8" fillId="0" borderId="0" xfId="0" applyFont="1" applyAlignment="1">
      <alignment horizontal="left"/>
    </xf>
    <xf numFmtId="0" fontId="11" fillId="0" borderId="0" xfId="0" applyFont="1"/>
    <xf numFmtId="0" fontId="3" fillId="0" borderId="0" xfId="0" applyFont="1"/>
    <xf numFmtId="0" fontId="14" fillId="0" borderId="0" xfId="0" applyFont="1"/>
    <xf numFmtId="0" fontId="13" fillId="3" borderId="0" xfId="0" applyFont="1" applyFill="1" applyAlignment="1">
      <alignment horizontal="center" vertical="center"/>
    </xf>
    <xf numFmtId="0" fontId="12" fillId="3" borderId="0" xfId="0" applyFont="1" applyFill="1" applyAlignment="1">
      <alignment horizontal="center" vertical="center"/>
    </xf>
    <xf numFmtId="0" fontId="15" fillId="3" borderId="0" xfId="0" applyFont="1" applyFill="1" applyAlignment="1">
      <alignment horizontal="center" vertical="center"/>
    </xf>
    <xf numFmtId="171" fontId="1" fillId="2" borderId="1" xfId="0" applyNumberFormat="1" applyFont="1" applyFill="1" applyBorder="1" applyAlignment="1">
      <alignment horizontal="center"/>
    </xf>
    <xf numFmtId="171" fontId="3" fillId="0" borderId="1" xfId="0" applyNumberFormat="1" applyFont="1" applyBorder="1"/>
    <xf numFmtId="171" fontId="0" fillId="0" borderId="0" xfId="0" applyNumberFormat="1"/>
    <xf numFmtId="171" fontId="4" fillId="2" borderId="1" xfId="0" applyNumberFormat="1" applyFont="1" applyFill="1" applyBorder="1" applyAlignment="1">
      <alignment horizontal="center"/>
    </xf>
    <xf numFmtId="0" fontId="6" fillId="0" borderId="0" xfId="0" applyNumberFormat="1" applyFont="1"/>
    <xf numFmtId="0" fontId="7" fillId="0" borderId="0" xfId="0" applyNumberFormat="1" applyFont="1"/>
  </cellXfs>
  <cellStyles count="1">
    <cellStyle name="Normal" xfId="0" builtinId="0"/>
  </cellStyles>
  <dxfs count="341">
    <dxf>
      <font>
        <name val="Times New Roman"/>
        <family val="1"/>
      </font>
    </dxf>
    <dxf>
      <font>
        <name val="Times New Roman"/>
        <family val="1"/>
      </font>
    </dxf>
    <dxf>
      <font>
        <b/>
      </font>
    </dxf>
    <dxf>
      <font>
        <sz val="12"/>
      </font>
    </dxf>
    <dxf>
      <font>
        <sz val="12"/>
      </font>
    </dxf>
    <dxf>
      <font>
        <name val="Arial"/>
        <family val="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name val="Times New Roman"/>
        <family val="1"/>
      </font>
    </dxf>
    <dxf>
      <font>
        <name val="Times New Roman"/>
        <family val="1"/>
      </font>
    </dxf>
    <dxf>
      <font>
        <sz val="12"/>
      </font>
    </dxf>
    <dxf>
      <font>
        <sz val="12"/>
      </font>
    </dxf>
    <dxf>
      <font>
        <name val="Arial"/>
        <family val="2"/>
      </font>
    </dxf>
    <dxf>
      <font>
        <b/>
      </font>
    </dxf>
    <dxf>
      <font>
        <sz val="1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sz val="12"/>
      </font>
    </dxf>
    <dxf>
      <font>
        <name val="Arial"/>
        <family val="2"/>
      </font>
    </dxf>
    <dxf>
      <font>
        <b/>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b/>
      </font>
    </dxf>
    <dxf>
      <font>
        <sz val="12"/>
      </font>
    </dxf>
    <dxf>
      <font>
        <sz val="12"/>
      </font>
    </dxf>
    <dxf>
      <font>
        <name val="Arial"/>
        <family val="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name val="Times New Roman"/>
        <family val="1"/>
      </font>
    </dxf>
    <dxf>
      <font>
        <name val="Times New Roman"/>
        <family val="1"/>
      </font>
    </dxf>
    <dxf>
      <font>
        <sz val="12"/>
      </font>
    </dxf>
    <dxf>
      <font>
        <sz val="12"/>
      </font>
    </dxf>
    <dxf>
      <font>
        <name val="Arial"/>
        <family val="2"/>
      </font>
    </dxf>
    <dxf>
      <font>
        <b/>
      </font>
    </dxf>
    <dxf>
      <font>
        <sz val="1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sz val="12"/>
      </font>
    </dxf>
    <dxf>
      <font>
        <name val="Arial"/>
        <family val="2"/>
      </font>
    </dxf>
    <dxf>
      <font>
        <b/>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b/>
      </font>
    </dxf>
    <dxf>
      <font>
        <sz val="12"/>
      </font>
    </dxf>
    <dxf>
      <font>
        <sz val="12"/>
      </font>
    </dxf>
    <dxf>
      <font>
        <name val="Arial"/>
        <family val="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sz val="12"/>
      </font>
    </dxf>
    <dxf>
      <font>
        <name val="Arial"/>
        <family val="2"/>
      </font>
    </dxf>
    <dxf>
      <font>
        <b/>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b/>
      </font>
    </dxf>
    <dxf>
      <font>
        <sz val="12"/>
      </font>
    </dxf>
    <dxf>
      <font>
        <sz val="12"/>
      </font>
    </dxf>
    <dxf>
      <font>
        <name val="Arial"/>
        <family val="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name val="Times New Roman"/>
        <family val="1"/>
      </font>
    </dxf>
    <dxf>
      <font>
        <name val="Times New Roman"/>
        <family val="1"/>
      </font>
    </dxf>
    <dxf>
      <font>
        <sz val="12"/>
      </font>
    </dxf>
    <dxf>
      <font>
        <sz val="12"/>
      </font>
    </dxf>
    <dxf>
      <font>
        <name val="Arial"/>
        <family val="2"/>
      </font>
    </dxf>
    <dxf>
      <font>
        <b/>
      </font>
    </dxf>
    <dxf>
      <font>
        <sz val="1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sz val="12"/>
      </font>
    </dxf>
    <dxf>
      <font>
        <name val="Arial"/>
        <family val="2"/>
      </font>
    </dxf>
    <dxf>
      <font>
        <b/>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b/>
      </font>
    </dxf>
    <dxf>
      <font>
        <sz val="12"/>
      </font>
    </dxf>
    <dxf>
      <font>
        <sz val="12"/>
      </font>
    </dxf>
    <dxf>
      <font>
        <name val="Arial"/>
        <family val="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name val="Times New Roman"/>
        <family val="1"/>
      </font>
    </dxf>
    <dxf>
      <font>
        <name val="Times New Roman"/>
        <family val="1"/>
      </font>
    </dxf>
    <dxf>
      <font>
        <sz val="12"/>
      </font>
    </dxf>
    <dxf>
      <font>
        <sz val="12"/>
      </font>
    </dxf>
    <dxf>
      <font>
        <name val="Arial"/>
        <family val="2"/>
      </font>
    </dxf>
    <dxf>
      <font>
        <b/>
      </font>
    </dxf>
    <dxf>
      <font>
        <sz val="1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sz val="12"/>
      </font>
    </dxf>
    <dxf>
      <font>
        <name val="Arial"/>
        <family val="2"/>
      </font>
    </dxf>
    <dxf>
      <font>
        <b/>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b/>
      </font>
    </dxf>
    <dxf>
      <font>
        <sz val="12"/>
      </font>
    </dxf>
    <dxf>
      <font>
        <sz val="12"/>
      </font>
    </dxf>
    <dxf>
      <font>
        <name val="Arial"/>
        <family val="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name val="Times New Roman"/>
        <family val="1"/>
      </font>
    </dxf>
    <dxf>
      <font>
        <name val="Times New Roman"/>
        <family val="1"/>
      </font>
    </dxf>
    <dxf>
      <font>
        <sz val="12"/>
      </font>
    </dxf>
    <dxf>
      <font>
        <sz val="12"/>
      </font>
    </dxf>
    <dxf>
      <font>
        <name val="Arial"/>
        <family val="2"/>
      </font>
    </dxf>
    <dxf>
      <font>
        <b/>
      </font>
    </dxf>
    <dxf>
      <font>
        <sz val="1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b/>
      </font>
    </dxf>
    <dxf>
      <font>
        <sz val="12"/>
      </font>
    </dxf>
    <dxf>
      <font>
        <sz val="12"/>
      </font>
    </dxf>
    <dxf>
      <font>
        <name val="Arial"/>
        <family val="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sz val="12"/>
      </font>
    </dxf>
    <dxf>
      <font>
        <name val="Arial"/>
        <family val="2"/>
      </font>
    </dxf>
    <dxf>
      <font>
        <b/>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name val="Times New Roman"/>
        <family val="1"/>
      </font>
    </dxf>
    <dxf>
      <font>
        <name val="Times New Roman"/>
        <family val="1"/>
      </font>
    </dxf>
    <dxf>
      <font>
        <sz val="12"/>
      </font>
    </dxf>
    <dxf>
      <font>
        <sz val="12"/>
      </font>
    </dxf>
    <dxf>
      <font>
        <name val="Arial"/>
        <family val="2"/>
      </font>
    </dxf>
    <dxf>
      <font>
        <b/>
      </font>
    </dxf>
    <dxf>
      <font>
        <sz val="1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b/>
      </font>
    </dxf>
    <dxf>
      <font>
        <sz val="12"/>
      </font>
    </dxf>
    <dxf>
      <font>
        <sz val="12"/>
      </font>
    </dxf>
    <dxf>
      <font>
        <name val="Arial"/>
        <family val="2"/>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sz val="12"/>
      </font>
    </dxf>
    <dxf>
      <font>
        <name val="Arial"/>
        <family val="2"/>
      </font>
    </dxf>
    <dxf>
      <font>
        <b/>
      </font>
    </dxf>
    <dxf>
      <font>
        <name val="Arial"/>
        <family val="2"/>
      </font>
    </dxf>
    <dxf>
      <font>
        <name val="Arial"/>
        <family val="2"/>
      </font>
    </dxf>
    <dxf>
      <font>
        <name val="Arial"/>
        <family val="2"/>
      </font>
    </dxf>
    <dxf>
      <font>
        <b/>
      </font>
    </dxf>
    <dxf>
      <font>
        <b/>
      </font>
    </dxf>
    <dxf>
      <font>
        <b/>
      </font>
    </dxf>
    <dxf>
      <font>
        <sz val="12"/>
      </font>
    </dxf>
    <dxf>
      <font>
        <name val="Times New Roman"/>
        <family val="1"/>
      </font>
    </dxf>
    <dxf>
      <font>
        <name val="Times New Roman"/>
        <family val="1"/>
      </font>
    </dxf>
    <dxf>
      <font>
        <name val="Times New Roman"/>
        <family val="1"/>
      </font>
    </dxf>
    <dxf>
      <font>
        <name val="Times New Roman"/>
        <family val="1"/>
      </font>
    </dxf>
    <dxf>
      <font>
        <sz val="12"/>
      </font>
    </dxf>
    <dxf>
      <font>
        <sz val="12"/>
      </font>
    </dxf>
    <dxf>
      <font>
        <name val="Arial"/>
        <family val="2"/>
      </font>
    </dxf>
    <dxf>
      <font>
        <b/>
      </font>
    </dxf>
    <dxf>
      <font>
        <sz val="12"/>
      </font>
    </dxf>
    <dxf>
      <font>
        <name val="Arial"/>
        <family val="2"/>
      </font>
    </dxf>
    <dxf>
      <font>
        <name val="Arial"/>
        <family val="2"/>
      </font>
    </dxf>
    <dxf>
      <font>
        <name val="Arial"/>
        <family val="2"/>
      </font>
    </dxf>
    <dxf>
      <font>
        <b/>
      </font>
    </dxf>
    <dxf>
      <font>
        <b/>
      </font>
    </dxf>
    <dxf>
      <font>
        <b/>
      </font>
    </dxf>
    <dxf>
      <font>
        <sz val="12"/>
      </font>
    </dxf>
    <dxf>
      <font>
        <sz val="12"/>
      </font>
    </dxf>
    <dxf>
      <font>
        <b/>
      </font>
    </dxf>
    <dxf>
      <font>
        <b/>
      </font>
    </dxf>
    <dxf>
      <font>
        <b/>
      </font>
    </dxf>
    <dxf>
      <font>
        <name val="Arial"/>
        <family val="2"/>
      </font>
    </dxf>
    <dxf>
      <font>
        <name val="Arial"/>
        <family val="2"/>
      </font>
    </dxf>
    <dxf>
      <font>
        <name val="Arial"/>
        <family val="2"/>
      </font>
    </dxf>
    <dxf>
      <font>
        <sz val="12"/>
      </font>
    </dxf>
    <dxf>
      <font>
        <b/>
      </font>
    </dxf>
    <dxf>
      <font>
        <name val="Arial"/>
        <family val="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font>
        <sz val="12"/>
      </font>
    </dxf>
    <dxf>
      <font>
        <b/>
      </font>
    </dxf>
    <dxf>
      <font>
        <b/>
      </font>
    </dxf>
    <dxf>
      <font>
        <b/>
      </font>
    </dxf>
    <dxf>
      <font>
        <name val="Arial"/>
        <family val="2"/>
      </font>
    </dxf>
    <dxf>
      <font>
        <name val="Arial"/>
        <family val="2"/>
      </font>
    </dxf>
    <dxf>
      <font>
        <name val="Arial"/>
        <family val="2"/>
      </font>
    </dxf>
    <dxf>
      <font>
        <b/>
      </font>
    </dxf>
    <dxf>
      <font>
        <name val="Arial"/>
        <family val="2"/>
      </font>
    </dxf>
    <dxf>
      <font>
        <sz val="12"/>
      </font>
    </dxf>
    <dxf>
      <font>
        <name val="Times New Roman"/>
        <family val="1"/>
      </font>
    </dxf>
    <dxf>
      <font>
        <name val="Times New Roman"/>
        <family val="1"/>
      </font>
    </dxf>
    <dxf>
      <font>
        <sz val="12"/>
      </font>
    </dxf>
    <dxf>
      <font>
        <b/>
      </font>
    </dxf>
    <dxf>
      <font>
        <b/>
      </font>
    </dxf>
    <dxf>
      <font>
        <b/>
      </font>
    </dxf>
    <dxf>
      <font>
        <name val="Arial"/>
        <family val="2"/>
      </font>
    </dxf>
    <dxf>
      <font>
        <name val="Arial"/>
        <family val="2"/>
      </font>
    </dxf>
    <dxf>
      <font>
        <name val="Arial"/>
        <family val="2"/>
      </font>
    </dxf>
    <dxf>
      <font>
        <name val="Arial"/>
        <family val="2"/>
      </font>
    </dxf>
    <dxf>
      <font>
        <sz val="12"/>
      </font>
    </dxf>
    <dxf>
      <font>
        <sz val="12"/>
      </font>
    </dxf>
    <dxf>
      <font>
        <b/>
      </font>
    </dxf>
    <dxf>
      <font>
        <name val="Times New Roman"/>
        <family val="1"/>
      </font>
    </dxf>
    <dxf>
      <font>
        <name val="Times New Roman"/>
        <family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 progress.xlsx]Pivot Summary!PivotTable4</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Sales Trend (Jan-Jun 2026</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Summary'!$D$20</c:f>
              <c:strCache>
                <c:ptCount val="1"/>
                <c:pt idx="0">
                  <c:v>Total</c:v>
                </c:pt>
              </c:strCache>
            </c:strRef>
          </c:tx>
          <c:spPr>
            <a:ln w="31750"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Summary'!$C$21:$C$27</c:f>
              <c:strCache>
                <c:ptCount val="6"/>
                <c:pt idx="0">
                  <c:v>Jan</c:v>
                </c:pt>
                <c:pt idx="1">
                  <c:v>Feb</c:v>
                </c:pt>
                <c:pt idx="2">
                  <c:v>Mar</c:v>
                </c:pt>
                <c:pt idx="3">
                  <c:v>Apr</c:v>
                </c:pt>
                <c:pt idx="4">
                  <c:v>May</c:v>
                </c:pt>
                <c:pt idx="5">
                  <c:v>Jun</c:v>
                </c:pt>
              </c:strCache>
            </c:strRef>
          </c:cat>
          <c:val>
            <c:numRef>
              <c:f>'Pivot Summary'!$D$21:$D$27</c:f>
              <c:numCache>
                <c:formatCode>#,##0</c:formatCode>
                <c:ptCount val="6"/>
                <c:pt idx="0">
                  <c:v>454300</c:v>
                </c:pt>
                <c:pt idx="1">
                  <c:v>330900</c:v>
                </c:pt>
                <c:pt idx="2">
                  <c:v>630800</c:v>
                </c:pt>
                <c:pt idx="3">
                  <c:v>847200</c:v>
                </c:pt>
                <c:pt idx="4">
                  <c:v>401400</c:v>
                </c:pt>
                <c:pt idx="5">
                  <c:v>762000</c:v>
                </c:pt>
              </c:numCache>
            </c:numRef>
          </c:val>
          <c:smooth val="0"/>
          <c:extLst>
            <c:ext xmlns:c16="http://schemas.microsoft.com/office/drawing/2014/chart" uri="{C3380CC4-5D6E-409C-BE32-E72D297353CC}">
              <c16:uniqueId val="{00000000-98B6-4661-91A4-81F861ADCE33}"/>
            </c:ext>
          </c:extLst>
        </c:ser>
        <c:dLbls>
          <c:dLblPos val="ctr"/>
          <c:showLegendKey val="0"/>
          <c:showVal val="1"/>
          <c:showCatName val="0"/>
          <c:showSerName val="0"/>
          <c:showPercent val="0"/>
          <c:showBubbleSize val="0"/>
        </c:dLbls>
        <c:marker val="1"/>
        <c:smooth val="0"/>
        <c:axId val="247526287"/>
        <c:axId val="247542607"/>
      </c:lineChart>
      <c:catAx>
        <c:axId val="24752628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7542607"/>
        <c:crosses val="autoZero"/>
        <c:auto val="1"/>
        <c:lblAlgn val="ctr"/>
        <c:lblOffset val="100"/>
        <c:noMultiLvlLbl val="0"/>
      </c:catAx>
      <c:valAx>
        <c:axId val="247542607"/>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752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 progress.xlsx]Pivot Summary!PivotTable1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BY REGION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Summary'!$D$4</c:f>
              <c:strCache>
                <c:ptCount val="1"/>
                <c:pt idx="0">
                  <c:v>Total Sales in (₦)</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'Pivot Summary'!$C$5:$C$9</c:f>
              <c:strCache>
                <c:ptCount val="4"/>
                <c:pt idx="0">
                  <c:v>Abuja</c:v>
                </c:pt>
                <c:pt idx="1">
                  <c:v>Ibadan</c:v>
                </c:pt>
                <c:pt idx="2">
                  <c:v>Lagos</c:v>
                </c:pt>
                <c:pt idx="3">
                  <c:v>Port Harcourt</c:v>
                </c:pt>
              </c:strCache>
            </c:strRef>
          </c:cat>
          <c:val>
            <c:numRef>
              <c:f>'Pivot Summary'!$D$5:$D$9</c:f>
              <c:numCache>
                <c:formatCode>#,##0</c:formatCode>
                <c:ptCount val="4"/>
                <c:pt idx="0">
                  <c:v>788700</c:v>
                </c:pt>
                <c:pt idx="1">
                  <c:v>853800</c:v>
                </c:pt>
                <c:pt idx="2">
                  <c:v>960300</c:v>
                </c:pt>
                <c:pt idx="3">
                  <c:v>823800</c:v>
                </c:pt>
              </c:numCache>
            </c:numRef>
          </c:val>
          <c:extLst>
            <c:ext xmlns:c16="http://schemas.microsoft.com/office/drawing/2014/chart" uri="{C3380CC4-5D6E-409C-BE32-E72D297353CC}">
              <c16:uniqueId val="{00000000-9CEF-4744-8591-7436CBFA32D7}"/>
            </c:ext>
          </c:extLst>
        </c:ser>
        <c:ser>
          <c:idx val="1"/>
          <c:order val="1"/>
          <c:tx>
            <c:strRef>
              <c:f>'Pivot Summary'!$E$4</c:f>
              <c:strCache>
                <c:ptCount val="1"/>
                <c:pt idx="0">
                  <c:v>Order  </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cat>
            <c:strRef>
              <c:f>'Pivot Summary'!$C$5:$C$9</c:f>
              <c:strCache>
                <c:ptCount val="4"/>
                <c:pt idx="0">
                  <c:v>Abuja</c:v>
                </c:pt>
                <c:pt idx="1">
                  <c:v>Ibadan</c:v>
                </c:pt>
                <c:pt idx="2">
                  <c:v>Lagos</c:v>
                </c:pt>
                <c:pt idx="3">
                  <c:v>Port Harcourt</c:v>
                </c:pt>
              </c:strCache>
            </c:strRef>
          </c:cat>
          <c:val>
            <c:numRef>
              <c:f>'Pivot Summary'!$E$5:$E$9</c:f>
              <c:numCache>
                <c:formatCode>General</c:formatCode>
                <c:ptCount val="4"/>
                <c:pt idx="0">
                  <c:v>28</c:v>
                </c:pt>
                <c:pt idx="1">
                  <c:v>35</c:v>
                </c:pt>
                <c:pt idx="2">
                  <c:v>40</c:v>
                </c:pt>
                <c:pt idx="3">
                  <c:v>31</c:v>
                </c:pt>
              </c:numCache>
            </c:numRef>
          </c:val>
          <c:extLst>
            <c:ext xmlns:c16="http://schemas.microsoft.com/office/drawing/2014/chart" uri="{C3380CC4-5D6E-409C-BE32-E72D297353CC}">
              <c16:uniqueId val="{00000001-9CEF-4744-8591-7436CBFA32D7}"/>
            </c:ext>
          </c:extLst>
        </c:ser>
        <c:dLbls>
          <c:showLegendKey val="0"/>
          <c:showVal val="0"/>
          <c:showCatName val="0"/>
          <c:showSerName val="0"/>
          <c:showPercent val="0"/>
          <c:showBubbleSize val="0"/>
        </c:dLbls>
        <c:gapWidth val="100"/>
        <c:overlap val="-24"/>
        <c:axId val="2045234175"/>
        <c:axId val="2045232255"/>
      </c:barChart>
      <c:catAx>
        <c:axId val="20452341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Regions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232255"/>
        <c:crosses val="autoZero"/>
        <c:auto val="1"/>
        <c:lblAlgn val="ctr"/>
        <c:lblOffset val="100"/>
        <c:noMultiLvlLbl val="0"/>
      </c:catAx>
      <c:valAx>
        <c:axId val="2045232255"/>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523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 progress.xlsx]Pivot Summary!PivotTable2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BY CATEGORY (₦)</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Summary'!$D$12</c:f>
              <c:strCache>
                <c:ptCount val="1"/>
                <c:pt idx="0">
                  <c:v> Total Sales in (₦)</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'Pivot Summary'!$C$13:$C$18</c:f>
              <c:strCache>
                <c:ptCount val="5"/>
                <c:pt idx="0">
                  <c:v>Apparel</c:v>
                </c:pt>
                <c:pt idx="1">
                  <c:v>Beauty</c:v>
                </c:pt>
                <c:pt idx="2">
                  <c:v>Electronics</c:v>
                </c:pt>
                <c:pt idx="3">
                  <c:v>Groceries</c:v>
                </c:pt>
                <c:pt idx="4">
                  <c:v>Home &amp; Kitchen</c:v>
                </c:pt>
              </c:strCache>
            </c:strRef>
          </c:cat>
          <c:val>
            <c:numRef>
              <c:f>'Pivot Summary'!$D$13:$D$18</c:f>
              <c:numCache>
                <c:formatCode>#,##0</c:formatCode>
                <c:ptCount val="5"/>
                <c:pt idx="0">
                  <c:v>448000</c:v>
                </c:pt>
                <c:pt idx="1">
                  <c:v>915400</c:v>
                </c:pt>
                <c:pt idx="2">
                  <c:v>731700</c:v>
                </c:pt>
                <c:pt idx="3">
                  <c:v>516000</c:v>
                </c:pt>
                <c:pt idx="4">
                  <c:v>815500</c:v>
                </c:pt>
              </c:numCache>
            </c:numRef>
          </c:val>
          <c:extLst>
            <c:ext xmlns:c16="http://schemas.microsoft.com/office/drawing/2014/chart" uri="{C3380CC4-5D6E-409C-BE32-E72D297353CC}">
              <c16:uniqueId val="{00000000-E078-4CB8-80E9-D353BD08ABDB}"/>
            </c:ext>
          </c:extLst>
        </c:ser>
        <c:ser>
          <c:idx val="1"/>
          <c:order val="1"/>
          <c:tx>
            <c:strRef>
              <c:f>'Pivot Summary'!$E$12</c:f>
              <c:strCache>
                <c:ptCount val="1"/>
                <c:pt idx="0">
                  <c:v> Order</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cat>
            <c:strRef>
              <c:f>'Pivot Summary'!$C$13:$C$18</c:f>
              <c:strCache>
                <c:ptCount val="5"/>
                <c:pt idx="0">
                  <c:v>Apparel</c:v>
                </c:pt>
                <c:pt idx="1">
                  <c:v>Beauty</c:v>
                </c:pt>
                <c:pt idx="2">
                  <c:v>Electronics</c:v>
                </c:pt>
                <c:pt idx="3">
                  <c:v>Groceries</c:v>
                </c:pt>
                <c:pt idx="4">
                  <c:v>Home &amp; Kitchen</c:v>
                </c:pt>
              </c:strCache>
            </c:strRef>
          </c:cat>
          <c:val>
            <c:numRef>
              <c:f>'Pivot Summary'!$E$13:$E$18</c:f>
              <c:numCache>
                <c:formatCode>General</c:formatCode>
                <c:ptCount val="5"/>
                <c:pt idx="0">
                  <c:v>21</c:v>
                </c:pt>
                <c:pt idx="1">
                  <c:v>34</c:v>
                </c:pt>
                <c:pt idx="2">
                  <c:v>24</c:v>
                </c:pt>
                <c:pt idx="3">
                  <c:v>23</c:v>
                </c:pt>
                <c:pt idx="4">
                  <c:v>32</c:v>
                </c:pt>
              </c:numCache>
            </c:numRef>
          </c:val>
          <c:extLst>
            <c:ext xmlns:c16="http://schemas.microsoft.com/office/drawing/2014/chart" uri="{C3380CC4-5D6E-409C-BE32-E72D297353CC}">
              <c16:uniqueId val="{00000001-E078-4CB8-80E9-D353BD08ABDB}"/>
            </c:ext>
          </c:extLst>
        </c:ser>
        <c:dLbls>
          <c:showLegendKey val="0"/>
          <c:showVal val="0"/>
          <c:showCatName val="0"/>
          <c:showSerName val="0"/>
          <c:showPercent val="0"/>
          <c:showBubbleSize val="0"/>
        </c:dLbls>
        <c:gapWidth val="100"/>
        <c:axId val="1859882047"/>
        <c:axId val="40277039"/>
      </c:barChart>
      <c:catAx>
        <c:axId val="185988204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0277039"/>
        <c:crosses val="autoZero"/>
        <c:auto val="1"/>
        <c:lblAlgn val="ctr"/>
        <c:lblOffset val="100"/>
        <c:noMultiLvlLbl val="0"/>
      </c:catAx>
      <c:valAx>
        <c:axId val="40277039"/>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5988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3</xdr:row>
      <xdr:rowOff>27612</xdr:rowOff>
    </xdr:from>
    <xdr:to>
      <xdr:col>2</xdr:col>
      <xdr:colOff>19050</xdr:colOff>
      <xdr:row>9</xdr:row>
      <xdr:rowOff>44734</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6AAA47E-36BD-19DE-9629-23C79FEAD2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50" y="652623"/>
              <a:ext cx="2756899" cy="1130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19051</xdr:colOff>
      <xdr:row>9</xdr:row>
      <xdr:rowOff>190286</xdr:rowOff>
    </xdr:from>
    <xdr:to>
      <xdr:col>1</xdr:col>
      <xdr:colOff>1267147</xdr:colOff>
      <xdr:row>16</xdr:row>
      <xdr:rowOff>19993</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5781C2D5-6A4F-30D0-C85B-6769AC778F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51" y="1945455"/>
              <a:ext cx="2686478" cy="1147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87545</xdr:rowOff>
    </xdr:from>
    <xdr:to>
      <xdr:col>1</xdr:col>
      <xdr:colOff>1292831</xdr:colOff>
      <xdr:row>22</xdr:row>
      <xdr:rowOff>104669</xdr:rowOff>
    </xdr:to>
    <mc:AlternateContent xmlns:mc="http://schemas.openxmlformats.org/markup-compatibility/2006" xmlns:a14="http://schemas.microsoft.com/office/drawing/2010/main">
      <mc:Choice Requires="a14">
        <xdr:graphicFrame macro="">
          <xdr:nvGraphicFramePr>
            <xdr:cNvPr id="10" name="Months (Date)">
              <a:extLst>
                <a:ext uri="{FF2B5EF4-FFF2-40B4-BE49-F238E27FC236}">
                  <a16:creationId xmlns:a16="http://schemas.microsoft.com/office/drawing/2014/main" id="{56EA1626-485A-5223-46D3-9EFAFDF94B69}"/>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3169792"/>
              <a:ext cx="2731213" cy="1147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1363260</xdr:colOff>
      <xdr:row>33</xdr:row>
      <xdr:rowOff>44732</xdr:rowOff>
    </xdr:from>
    <xdr:to>
      <xdr:col>10</xdr:col>
      <xdr:colOff>34247</xdr:colOff>
      <xdr:row>48</xdr:row>
      <xdr:rowOff>44733</xdr:rowOff>
    </xdr:to>
    <xdr:graphicFrame macro="">
      <xdr:nvGraphicFramePr>
        <xdr:cNvPr id="14" name="Chart 13">
          <a:extLst>
            <a:ext uri="{FF2B5EF4-FFF2-40B4-BE49-F238E27FC236}">
              <a16:creationId xmlns:a16="http://schemas.microsoft.com/office/drawing/2014/main" id="{DF473E61-A735-46B6-2C19-D188677D7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4281</xdr:colOff>
      <xdr:row>3</xdr:row>
      <xdr:rowOff>11130</xdr:rowOff>
    </xdr:from>
    <xdr:to>
      <xdr:col>9</xdr:col>
      <xdr:colOff>779125</xdr:colOff>
      <xdr:row>18</xdr:row>
      <xdr:rowOff>42809</xdr:rowOff>
    </xdr:to>
    <xdr:graphicFrame macro="">
      <xdr:nvGraphicFramePr>
        <xdr:cNvPr id="3" name="Chart 2">
          <a:extLst>
            <a:ext uri="{FF2B5EF4-FFF2-40B4-BE49-F238E27FC236}">
              <a16:creationId xmlns:a16="http://schemas.microsoft.com/office/drawing/2014/main" id="{0F24F935-DEE5-915A-B4AE-CC2C6A96A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4280</xdr:colOff>
      <xdr:row>18</xdr:row>
      <xdr:rowOff>36817</xdr:rowOff>
    </xdr:from>
    <xdr:to>
      <xdr:col>10</xdr:col>
      <xdr:colOff>12841</xdr:colOff>
      <xdr:row>33</xdr:row>
      <xdr:rowOff>31679</xdr:rowOff>
    </xdr:to>
    <xdr:graphicFrame macro="">
      <xdr:nvGraphicFramePr>
        <xdr:cNvPr id="4" name="Chart 3">
          <a:extLst>
            <a:ext uri="{FF2B5EF4-FFF2-40B4-BE49-F238E27FC236}">
              <a16:creationId xmlns:a16="http://schemas.microsoft.com/office/drawing/2014/main" id="{82DB9FE2-E61F-1F69-1A50-CEA293C0A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28938</xdr:colOff>
      <xdr:row>22</xdr:row>
      <xdr:rowOff>69095</xdr:rowOff>
    </xdr:from>
    <xdr:to>
      <xdr:col>1</xdr:col>
      <xdr:colOff>1258583</xdr:colOff>
      <xdr:row>25</xdr:row>
      <xdr:rowOff>154113</xdr:rowOff>
    </xdr:to>
    <mc:AlternateContent xmlns:mc="http://schemas.openxmlformats.org/markup-compatibility/2006">
      <mc:Choice xmlns:a14="http://schemas.microsoft.com/office/drawing/2010/main" Requires="a14">
        <xdr:graphicFrame macro="">
          <xdr:nvGraphicFramePr>
            <xdr:cNvPr id="5" name="Payment Method">
              <a:extLst>
                <a:ext uri="{FF2B5EF4-FFF2-40B4-BE49-F238E27FC236}">
                  <a16:creationId xmlns:a16="http://schemas.microsoft.com/office/drawing/2014/main" id="{53A0A9FA-A75C-86E2-96DC-33150604405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28938" y="4332870"/>
              <a:ext cx="2668027" cy="624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22.442511458336" createdVersion="8" refreshedVersion="8" minRefreshableVersion="3" recordCount="134" xr:uid="{A85823CA-A223-4D05-AABD-A06843FCBCE0}">
  <cacheSource type="worksheet">
    <worksheetSource ref="A1:J135" sheet="Clean Data"/>
  </cacheSource>
  <cacheFields count="13">
    <cacheField name="Order ID" numFmtId="0">
      <sharedItems/>
    </cacheField>
    <cacheField name="Date" numFmtId="166">
      <sharedItems containsSemiMixedTypes="0" containsNonDate="0" containsDate="1" containsString="0" minDate="2026-01-01T00:00:00" maxDate="2026-06-29T00:00:00" count="93">
        <d v="2026-01-01T00:00:00"/>
        <d v="2026-01-05T00:00:00"/>
        <d v="2026-01-07T00:00:00"/>
        <d v="2026-01-08T00:00:00"/>
        <d v="2026-01-10T00:00:00"/>
        <d v="2026-01-12T00:00:00"/>
        <d v="2026-01-13T00:00:00"/>
        <d v="2026-01-14T00:00:00"/>
        <d v="2026-01-17T00:00:00"/>
        <d v="2026-01-19T00:00:00"/>
        <d v="2026-01-21T00:00:00"/>
        <d v="2026-01-23T00:00:00"/>
        <d v="2026-01-24T00:00:00"/>
        <d v="2026-01-26T00:00:00"/>
        <d v="2026-01-30T00:00:00"/>
        <d v="2026-02-02T00:00:00"/>
        <d v="2026-02-05T00:00:00"/>
        <d v="2026-02-09T00:00:00"/>
        <d v="2026-02-13T00:00:00"/>
        <d v="2026-02-15T00:00:00"/>
        <d v="2026-02-16T00:00:00"/>
        <d v="2026-02-22T00:00:00"/>
        <d v="2026-02-23T00:00:00"/>
        <d v="2026-02-26T00:00:00"/>
        <d v="2026-02-28T00:00:00"/>
        <d v="2026-03-02T00:00:00"/>
        <d v="2026-03-03T00:00:00"/>
        <d v="2026-03-04T00:00:00"/>
        <d v="2026-03-07T00:00:00"/>
        <d v="2026-03-09T00:00:00"/>
        <d v="2026-03-10T00:00:00"/>
        <d v="2026-03-12T00:00:00"/>
        <d v="2026-03-15T00:00:00"/>
        <d v="2026-03-16T00:00:00"/>
        <d v="2026-03-17T00:00:00"/>
        <d v="2026-03-19T00:00:00"/>
        <d v="2026-03-20T00:00:00"/>
        <d v="2026-03-21T00:00:00"/>
        <d v="2026-03-25T00:00:00"/>
        <d v="2026-03-27T00:00:00"/>
        <d v="2026-03-28T00:00:00"/>
        <d v="2026-03-29T00:00:00"/>
        <d v="2026-03-31T00:00:00"/>
        <d v="2026-04-01T00:00:00"/>
        <d v="2026-04-03T00:00:00"/>
        <d v="2026-04-04T00:00:00"/>
        <d v="2026-04-05T00:00:00"/>
        <d v="2026-04-08T00:00:00"/>
        <d v="2026-04-09T00:00:00"/>
        <d v="2026-04-14T00:00:00"/>
        <d v="2026-04-16T00:00:00"/>
        <d v="2026-04-18T00:00:00"/>
        <d v="2026-04-21T00:00:00"/>
        <d v="2026-04-22T00:00:00"/>
        <d v="2026-04-23T00:00:00"/>
        <d v="2026-04-26T00:00:00"/>
        <d v="2026-04-28T00:00:00"/>
        <d v="2026-04-29T00:00:00"/>
        <d v="2026-04-30T00:00:00"/>
        <d v="2026-05-01T00:00:00"/>
        <d v="2026-05-04T00:00:00"/>
        <d v="2026-05-06T00:00:00"/>
        <d v="2026-05-11T00:00:00"/>
        <d v="2026-05-13T00:00:00"/>
        <d v="2026-05-16T00:00:00"/>
        <d v="2026-05-17T00:00:00"/>
        <d v="2026-05-19T00:00:00"/>
        <d v="2026-05-20T00:00:00"/>
        <d v="2026-05-22T00:00:00"/>
        <d v="2026-05-23T00:00:00"/>
        <d v="2026-05-24T00:00:00"/>
        <d v="2026-05-25T00:00:00"/>
        <d v="2026-05-27T00:00:00"/>
        <d v="2026-05-29T00:00:00"/>
        <d v="2026-06-04T00:00:00"/>
        <d v="2026-06-06T00:00:00"/>
        <d v="2026-06-07T00:00:00"/>
        <d v="2026-06-08T00:00:00"/>
        <d v="2026-06-10T00:00:00"/>
        <d v="2026-06-11T00:00:00"/>
        <d v="2026-06-12T00:00:00"/>
        <d v="2026-06-13T00:00:00"/>
        <d v="2026-06-14T00:00:00"/>
        <d v="2026-06-15T00:00:00"/>
        <d v="2026-06-16T00:00:00"/>
        <d v="2026-06-17T00:00:00"/>
        <d v="2026-06-19T00:00:00"/>
        <d v="2026-06-20T00:00:00"/>
        <d v="2026-06-21T00:00:00"/>
        <d v="2026-06-25T00:00:00"/>
        <d v="2026-06-26T00:00:00"/>
        <d v="2026-06-27T00:00:00"/>
        <d v="2026-06-28T00:00:00"/>
      </sharedItems>
      <fieldGroup par="11"/>
    </cacheField>
    <cacheField name="Customer Name" numFmtId="0">
      <sharedItems/>
    </cacheField>
    <cacheField name="Region" numFmtId="0">
      <sharedItems count="4">
        <s v="Lagos"/>
        <s v="Ibadan"/>
        <s v="Port Harcourt"/>
        <s v="Abuja"/>
      </sharedItems>
    </cacheField>
    <cacheField name="Category" numFmtId="0">
      <sharedItems count="5">
        <s v="Electronics"/>
        <s v="Beauty"/>
        <s v="Home &amp; Kitchen"/>
        <s v="Apparel"/>
        <s v="Groceries"/>
      </sharedItems>
    </cacheField>
    <cacheField name="Product" numFmtId="0">
      <sharedItems/>
    </cacheField>
    <cacheField name="Quantity" numFmtId="0">
      <sharedItems containsSemiMixedTypes="0" containsString="0" containsNumber="1" containsInteger="1" minValue="1" maxValue="8"/>
    </cacheField>
    <cacheField name="Unit Price" numFmtId="171">
      <sharedItems containsSemiMixedTypes="0" containsString="0" containsNumber="1" containsInteger="1" minValue="1500" maxValue="15000"/>
    </cacheField>
    <cacheField name="Total" numFmtId="171">
      <sharedItems containsSemiMixedTypes="0" containsString="0" containsNumber="1" containsInteger="1" minValue="1500" maxValue="120000"/>
    </cacheField>
    <cacheField name="Payment Method" numFmtId="0">
      <sharedItems count="3">
        <s v="Transfer"/>
        <s v="Card"/>
        <s v="Cash"/>
      </sharedItems>
    </cacheField>
    <cacheField name="Days (Date)" numFmtId="0" databaseField="0">
      <fieldGroup base="1">
        <rangePr groupBy="days" startDate="2026-01-01T00:00:00" endDate="2026-06-29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29/2026"/>
        </groupItems>
      </fieldGroup>
    </cacheField>
    <cacheField name="Months (Date)" numFmtId="0" databaseField="0">
      <fieldGroup base="1">
        <rangePr groupBy="months" startDate="2026-01-01T00:00:00" endDate="2026-06-29T00:00:00"/>
        <groupItems count="14">
          <s v="&lt;1/1/2026"/>
          <s v="Jan"/>
          <s v="Feb"/>
          <s v="Mar"/>
          <s v="Apr"/>
          <s v="May"/>
          <s v="Jun"/>
          <s v="Jul"/>
          <s v="Aug"/>
          <s v="Sep"/>
          <s v="Oct"/>
          <s v="Nov"/>
          <s v="Dec"/>
          <s v="&gt;6/29/2026"/>
        </groupItems>
      </fieldGroup>
    </cacheField>
    <cacheField name="order" numFmtId="0" formula="Total/'Unit Price'" databaseField="0"/>
  </cacheFields>
  <extLst>
    <ext xmlns:x14="http://schemas.microsoft.com/office/spreadsheetml/2009/9/main" uri="{725AE2AE-9491-48be-B2B4-4EB974FC3084}">
      <x14:pivotCacheDefinition pivotCacheId="1038153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s v="ORD-1025"/>
    <x v="0"/>
    <s v="Yemi Okafor"/>
    <x v="0"/>
    <x v="0"/>
    <s v="Power Bank"/>
    <n v="6"/>
    <n v="2500"/>
    <n v="15000"/>
    <x v="0"/>
  </r>
  <r>
    <s v="ORD-1011"/>
    <x v="1"/>
    <s v="Kelechi Nwosu"/>
    <x v="0"/>
    <x v="1"/>
    <s v="Lip Gloss"/>
    <n v="2"/>
    <n v="5500"/>
    <n v="11000"/>
    <x v="1"/>
  </r>
  <r>
    <s v="ORD-1118"/>
    <x v="1"/>
    <s v="Ada Bello"/>
    <x v="1"/>
    <x v="2"/>
    <s v="Table Lamp"/>
    <n v="5"/>
    <n v="3200"/>
    <n v="16000"/>
    <x v="2"/>
  </r>
  <r>
    <s v="ORD-1029"/>
    <x v="2"/>
    <s v="Emeka Okonkwo"/>
    <x v="2"/>
    <x v="2"/>
    <s v="Storage Containers"/>
    <n v="4"/>
    <n v="7000"/>
    <n v="28000"/>
    <x v="1"/>
  </r>
  <r>
    <s v="ORD-1073"/>
    <x v="3"/>
    <s v="Femi Yusuf"/>
    <x v="0"/>
    <x v="0"/>
    <s v="Power Bank"/>
    <n v="1"/>
    <n v="5500"/>
    <n v="5500"/>
    <x v="2"/>
  </r>
  <r>
    <s v="ORD-1072"/>
    <x v="4"/>
    <s v="Grace Danjuma"/>
    <x v="1"/>
    <x v="3"/>
    <s v="Ankara Fabric"/>
    <n v="2"/>
    <n v="3200"/>
    <n v="6400"/>
    <x v="0"/>
  </r>
  <r>
    <s v="ORD-1082"/>
    <x v="5"/>
    <s v="Tunde Adeyemi"/>
    <x v="2"/>
    <x v="2"/>
    <s v="Cutlery Set"/>
    <n v="1"/>
    <n v="4000"/>
    <n v="4000"/>
    <x v="1"/>
  </r>
  <r>
    <s v="ORD-1035"/>
    <x v="5"/>
    <s v="Ngozi Okafor"/>
    <x v="3"/>
    <x v="3"/>
    <s v="Women's Blouse"/>
    <n v="4"/>
    <n v="9500"/>
    <n v="38000"/>
    <x v="0"/>
  </r>
  <r>
    <s v="ORD-1123"/>
    <x v="5"/>
    <s v="Zainab Okonkwo"/>
    <x v="1"/>
    <x v="0"/>
    <s v="Bluetooth Speaker"/>
    <n v="4"/>
    <n v="1500"/>
    <n v="6000"/>
    <x v="1"/>
  </r>
  <r>
    <s v="ORD-1085"/>
    <x v="6"/>
    <s v="Blessing Okafor"/>
    <x v="0"/>
    <x v="2"/>
    <s v="Blender"/>
    <n v="6"/>
    <n v="3200"/>
    <n v="19200"/>
    <x v="2"/>
  </r>
  <r>
    <s v="ORD-1124"/>
    <x v="6"/>
    <s v="Zainab Eze"/>
    <x v="0"/>
    <x v="3"/>
    <s v="Women's Blouse"/>
    <n v="6"/>
    <n v="4000"/>
    <n v="24000"/>
    <x v="2"/>
  </r>
  <r>
    <s v="ORD-1017"/>
    <x v="6"/>
    <s v="Fatima Bello"/>
    <x v="0"/>
    <x v="4"/>
    <s v="Tomato Paste"/>
    <n v="1"/>
    <n v="2000"/>
    <n v="2000"/>
    <x v="2"/>
  </r>
  <r>
    <s v="ORD-1044"/>
    <x v="7"/>
    <s v="Ada Danjuma"/>
    <x v="0"/>
    <x v="3"/>
    <s v="Kids Sneakers"/>
    <n v="6"/>
    <n v="3200"/>
    <n v="19200"/>
    <x v="0"/>
  </r>
  <r>
    <s v="ORD-1065"/>
    <x v="7"/>
    <s v="Ibrahim Balogun"/>
    <x v="0"/>
    <x v="2"/>
    <s v="Table Lamp"/>
    <n v="4"/>
    <n v="12000"/>
    <n v="48000"/>
    <x v="1"/>
  </r>
  <r>
    <s v="ORD-1087"/>
    <x v="7"/>
    <s v="Femi Yusuf"/>
    <x v="2"/>
    <x v="4"/>
    <s v="Rice 5kg"/>
    <n v="3"/>
    <n v="7000"/>
    <n v="21000"/>
    <x v="0"/>
  </r>
  <r>
    <s v="ORD-1056"/>
    <x v="8"/>
    <s v="Grace Bello"/>
    <x v="0"/>
    <x v="4"/>
    <s v="Spaghetti Pack"/>
    <n v="7"/>
    <n v="9500"/>
    <n v="66500"/>
    <x v="2"/>
  </r>
  <r>
    <s v="ORD-1089"/>
    <x v="9"/>
    <s v="Grace Nwosu"/>
    <x v="1"/>
    <x v="2"/>
    <s v="Non-stick Pan"/>
    <n v="2"/>
    <n v="5500"/>
    <n v="11000"/>
    <x v="0"/>
  </r>
  <r>
    <s v="ORD-1039"/>
    <x v="10"/>
    <s v="Kelechi Danjuma"/>
    <x v="2"/>
    <x v="4"/>
    <s v="Spaghetti Pack"/>
    <n v="3"/>
    <n v="2500"/>
    <n v="7500"/>
    <x v="2"/>
  </r>
  <r>
    <s v="ORD-1133"/>
    <x v="11"/>
    <s v="Ngozi Adewale"/>
    <x v="1"/>
    <x v="3"/>
    <s v="Jeans"/>
    <n v="2"/>
    <n v="4000"/>
    <n v="8000"/>
    <x v="1"/>
  </r>
  <r>
    <s v="ORD-1092"/>
    <x v="12"/>
    <s v="Grace Bello"/>
    <x v="2"/>
    <x v="3"/>
    <s v="Women's Blouse"/>
    <n v="2"/>
    <n v="2000"/>
    <n v="4000"/>
    <x v="1"/>
  </r>
  <r>
    <s v="ORD-1062"/>
    <x v="12"/>
    <s v="Yemi Okafor"/>
    <x v="2"/>
    <x v="2"/>
    <s v="Table Lamp"/>
    <n v="4"/>
    <n v="15000"/>
    <n v="60000"/>
    <x v="0"/>
  </r>
  <r>
    <s v="ORD-1022"/>
    <x v="13"/>
    <s v="Blessing Adewale"/>
    <x v="0"/>
    <x v="0"/>
    <s v="Power Bank"/>
    <n v="2"/>
    <n v="12000"/>
    <n v="24000"/>
    <x v="2"/>
  </r>
  <r>
    <s v="ORD-1060"/>
    <x v="14"/>
    <s v="Amaka Balogun"/>
    <x v="2"/>
    <x v="4"/>
    <s v="Sugar 1kg"/>
    <n v="4"/>
    <n v="2500"/>
    <n v="10000"/>
    <x v="1"/>
  </r>
  <r>
    <s v="ORD-1012"/>
    <x v="15"/>
    <s v="Fatima Adeyemi"/>
    <x v="1"/>
    <x v="0"/>
    <s v="Bluetooth Speaker"/>
    <n v="8"/>
    <n v="12000"/>
    <n v="96000"/>
    <x v="2"/>
  </r>
  <r>
    <s v="ORD-1045"/>
    <x v="15"/>
    <s v="Ngozi Okonkwo"/>
    <x v="0"/>
    <x v="4"/>
    <s v="Sugar 1kg"/>
    <n v="8"/>
    <n v="2000"/>
    <n v="16000"/>
    <x v="0"/>
  </r>
  <r>
    <s v="ORD-1001"/>
    <x v="16"/>
    <s v="Emeka Okonkwo"/>
    <x v="0"/>
    <x v="0"/>
    <s v="Wireless Earbuds"/>
    <n v="2"/>
    <n v="12000"/>
    <n v="24000"/>
    <x v="2"/>
  </r>
  <r>
    <s v="ORD-1083"/>
    <x v="17"/>
    <s v="Chioma Adewale"/>
    <x v="2"/>
    <x v="2"/>
    <s v="Table Lamp"/>
    <n v="7"/>
    <n v="2000"/>
    <n v="14000"/>
    <x v="1"/>
  </r>
  <r>
    <s v="ORD-1034"/>
    <x v="18"/>
    <s v="Uche Nwosu"/>
    <x v="1"/>
    <x v="2"/>
    <s v="Blender"/>
    <n v="2"/>
    <n v="4000"/>
    <n v="8000"/>
    <x v="0"/>
  </r>
  <r>
    <s v="ORD-1030"/>
    <x v="19"/>
    <s v="Tunde Yusuf"/>
    <x v="2"/>
    <x v="1"/>
    <s v="Shea Butter Cream"/>
    <n v="5"/>
    <n v="1500"/>
    <n v="7500"/>
    <x v="2"/>
  </r>
  <r>
    <s v="ORD-1010"/>
    <x v="19"/>
    <s v="Yemi Danjuma"/>
    <x v="1"/>
    <x v="4"/>
    <s v="Rice 5kg"/>
    <n v="2"/>
    <n v="4000"/>
    <n v="8000"/>
    <x v="0"/>
  </r>
  <r>
    <s v="ORD-1095"/>
    <x v="20"/>
    <s v="Yemi Okafor"/>
    <x v="0"/>
    <x v="1"/>
    <s v="Lip Gloss"/>
    <n v="5"/>
    <n v="4000"/>
    <n v="20000"/>
    <x v="1"/>
  </r>
  <r>
    <s v="ORD-1050"/>
    <x v="20"/>
    <s v="Grace Eze"/>
    <x v="2"/>
    <x v="2"/>
    <s v="Non-stick Pan"/>
    <n v="8"/>
    <n v="3200"/>
    <n v="25600"/>
    <x v="1"/>
  </r>
  <r>
    <s v="ORD-1099"/>
    <x v="21"/>
    <s v="Chinedu Okafor"/>
    <x v="1"/>
    <x v="4"/>
    <s v="Sugar 1kg"/>
    <n v="5"/>
    <n v="3200"/>
    <n v="16000"/>
    <x v="2"/>
  </r>
  <r>
    <s v="ORD-1024"/>
    <x v="22"/>
    <s v="Zainab Adewale"/>
    <x v="3"/>
    <x v="1"/>
    <s v="Perfume"/>
    <n v="6"/>
    <n v="3200"/>
    <n v="19200"/>
    <x v="0"/>
  </r>
  <r>
    <s v="ORD-1008"/>
    <x v="23"/>
    <s v="Segun Eze"/>
    <x v="1"/>
    <x v="1"/>
    <s v="Lip Gloss"/>
    <n v="3"/>
    <n v="12000"/>
    <n v="36000"/>
    <x v="1"/>
  </r>
  <r>
    <s v="ORD-1041"/>
    <x v="23"/>
    <s v="Fatima Adewale"/>
    <x v="1"/>
    <x v="2"/>
    <s v="Table Lamp"/>
    <n v="8"/>
    <n v="3200"/>
    <n v="25600"/>
    <x v="1"/>
  </r>
  <r>
    <s v="ORD-1100"/>
    <x v="24"/>
    <s v="Segun Danjuma"/>
    <x v="3"/>
    <x v="2"/>
    <s v="Blender"/>
    <n v="6"/>
    <n v="2000"/>
    <n v="12000"/>
    <x v="1"/>
  </r>
  <r>
    <s v="ORD-1014"/>
    <x v="24"/>
    <s v="Bimpe Okafor"/>
    <x v="3"/>
    <x v="1"/>
    <s v="Shea Butter Cream"/>
    <n v="2"/>
    <n v="1500"/>
    <n v="3000"/>
    <x v="1"/>
  </r>
  <r>
    <s v="ORD-1110"/>
    <x v="25"/>
    <s v="Zainab Balogun"/>
    <x v="3"/>
    <x v="1"/>
    <s v="Perfume"/>
    <n v="2"/>
    <n v="4000"/>
    <n v="8000"/>
    <x v="0"/>
  </r>
  <r>
    <s v="ORD-1021"/>
    <x v="26"/>
    <s v="Amaka Eze"/>
    <x v="2"/>
    <x v="1"/>
    <s v="Perfume"/>
    <n v="5"/>
    <n v="7000"/>
    <n v="35000"/>
    <x v="2"/>
  </r>
  <r>
    <s v="ORD-1051"/>
    <x v="26"/>
    <s v="Amaka Bello"/>
    <x v="0"/>
    <x v="3"/>
    <s v="Jeans"/>
    <n v="7"/>
    <n v="9500"/>
    <n v="66500"/>
    <x v="0"/>
  </r>
  <r>
    <s v="ORD-1120"/>
    <x v="26"/>
    <s v="Blessing Eze"/>
    <x v="1"/>
    <x v="3"/>
    <s v="Men's T-Shirt"/>
    <n v="7"/>
    <n v="2500"/>
    <n v="17500"/>
    <x v="0"/>
  </r>
  <r>
    <s v="ORD-1015"/>
    <x v="27"/>
    <s v="David Nwosu"/>
    <x v="3"/>
    <x v="1"/>
    <s v="Lip Gloss"/>
    <n v="8"/>
    <n v="7000"/>
    <n v="56000"/>
    <x v="2"/>
  </r>
  <r>
    <s v="ORD-1132"/>
    <x v="27"/>
    <s v="Femi Adeyemi"/>
    <x v="2"/>
    <x v="1"/>
    <s v="Perfume"/>
    <n v="4"/>
    <n v="2000"/>
    <n v="8000"/>
    <x v="2"/>
  </r>
  <r>
    <s v="ORD-1031"/>
    <x v="28"/>
    <s v="David Okonkwo"/>
    <x v="0"/>
    <x v="1"/>
    <s v="Face Wash"/>
    <n v="1"/>
    <n v="7000"/>
    <n v="7000"/>
    <x v="2"/>
  </r>
  <r>
    <s v="ORD-1018"/>
    <x v="29"/>
    <s v="Ada Balogun"/>
    <x v="3"/>
    <x v="0"/>
    <s v="Power Bank"/>
    <n v="8"/>
    <n v="4000"/>
    <n v="32000"/>
    <x v="1"/>
  </r>
  <r>
    <s v="ORD-1049"/>
    <x v="30"/>
    <s v="Chioma Adewale"/>
    <x v="1"/>
    <x v="1"/>
    <s v="Face Wash"/>
    <n v="6"/>
    <n v="3200"/>
    <n v="19200"/>
    <x v="2"/>
  </r>
  <r>
    <s v="ORD-1127"/>
    <x v="31"/>
    <s v="Blessing Balogun"/>
    <x v="0"/>
    <x v="2"/>
    <s v="Storage Containers"/>
    <n v="1"/>
    <n v="2000"/>
    <n v="2000"/>
    <x v="0"/>
  </r>
  <r>
    <s v="ORD-1075"/>
    <x v="32"/>
    <s v="Ada Nwosu"/>
    <x v="1"/>
    <x v="3"/>
    <s v="Ankara Fabric"/>
    <n v="3"/>
    <n v="2000"/>
    <n v="6000"/>
    <x v="1"/>
  </r>
  <r>
    <s v="ORD-1059"/>
    <x v="33"/>
    <s v="Blessing Nwosu"/>
    <x v="1"/>
    <x v="0"/>
    <s v="Power Bank"/>
    <n v="1"/>
    <n v="3200"/>
    <n v="3200"/>
    <x v="1"/>
  </r>
  <r>
    <s v="ORD-1067"/>
    <x v="33"/>
    <s v="Ngozi Nwosu"/>
    <x v="1"/>
    <x v="0"/>
    <s v="Bluetooth Speaker"/>
    <n v="5"/>
    <n v="7000"/>
    <n v="35000"/>
    <x v="1"/>
  </r>
  <r>
    <s v="ORD-1101"/>
    <x v="33"/>
    <s v="Segun Balogun"/>
    <x v="1"/>
    <x v="3"/>
    <s v="Jeans"/>
    <n v="2"/>
    <n v="7000"/>
    <n v="14000"/>
    <x v="2"/>
  </r>
  <r>
    <s v="ORD-1090"/>
    <x v="34"/>
    <s v="Blessing Danjuma"/>
    <x v="2"/>
    <x v="1"/>
    <s v="Face Wash"/>
    <n v="8"/>
    <n v="12000"/>
    <n v="96000"/>
    <x v="0"/>
  </r>
  <r>
    <s v="ORD-1023"/>
    <x v="35"/>
    <s v="Ibrahim Danjuma"/>
    <x v="2"/>
    <x v="3"/>
    <s v="Women's Blouse"/>
    <n v="1"/>
    <n v="12000"/>
    <n v="12000"/>
    <x v="1"/>
  </r>
  <r>
    <s v="ORD-1053"/>
    <x v="36"/>
    <s v="Ibrahim Yusuf"/>
    <x v="2"/>
    <x v="1"/>
    <s v="Perfume"/>
    <n v="5"/>
    <n v="3200"/>
    <n v="16000"/>
    <x v="2"/>
  </r>
  <r>
    <s v="ORD-1032"/>
    <x v="37"/>
    <s v="Zainab Danjuma"/>
    <x v="2"/>
    <x v="3"/>
    <s v="Men's T-Shirt"/>
    <n v="7"/>
    <n v="5500"/>
    <n v="38500"/>
    <x v="1"/>
  </r>
  <r>
    <s v="ORD-1078"/>
    <x v="37"/>
    <s v="Tunde Okafor"/>
    <x v="2"/>
    <x v="4"/>
    <s v="Cooking Oil 2L"/>
    <n v="8"/>
    <n v="1500"/>
    <n v="12000"/>
    <x v="0"/>
  </r>
  <r>
    <s v="ORD-1126"/>
    <x v="38"/>
    <s v="Tunde Bello"/>
    <x v="2"/>
    <x v="1"/>
    <s v="Perfume"/>
    <n v="5"/>
    <n v="4000"/>
    <n v="20000"/>
    <x v="1"/>
  </r>
  <r>
    <s v="ORD-1043"/>
    <x v="38"/>
    <s v="Yemi Balogun"/>
    <x v="3"/>
    <x v="2"/>
    <s v="Non-stick Pan"/>
    <n v="4"/>
    <n v="9500"/>
    <n v="38000"/>
    <x v="1"/>
  </r>
  <r>
    <s v="ORD-1069"/>
    <x v="39"/>
    <s v="Grace Eze"/>
    <x v="1"/>
    <x v="4"/>
    <s v="Sugar 1kg"/>
    <n v="7"/>
    <n v="9500"/>
    <n v="66500"/>
    <x v="1"/>
  </r>
  <r>
    <s v="ORD-1016"/>
    <x v="40"/>
    <s v="Chinedu Balogun"/>
    <x v="0"/>
    <x v="2"/>
    <s v="Non-stick Pan"/>
    <n v="2"/>
    <n v="3200"/>
    <n v="6400"/>
    <x v="2"/>
  </r>
  <r>
    <s v="ORD-1137"/>
    <x v="40"/>
    <s v="Blessing Adewale"/>
    <x v="3"/>
    <x v="1"/>
    <s v="Hair Relaxer"/>
    <n v="1"/>
    <n v="1500"/>
    <n v="1500"/>
    <x v="2"/>
  </r>
  <r>
    <s v="ORD-1068"/>
    <x v="41"/>
    <s v="Yemi Balogun"/>
    <x v="3"/>
    <x v="1"/>
    <s v="Shea Butter Cream"/>
    <n v="5"/>
    <n v="1500"/>
    <n v="7500"/>
    <x v="1"/>
  </r>
  <r>
    <s v="ORD-1116"/>
    <x v="42"/>
    <s v="Emeka Nwosu"/>
    <x v="1"/>
    <x v="4"/>
    <s v="Rice 5kg"/>
    <n v="1"/>
    <n v="7000"/>
    <n v="7000"/>
    <x v="2"/>
  </r>
  <r>
    <s v="ORD-1027"/>
    <x v="43"/>
    <s v="Emeka Bello"/>
    <x v="2"/>
    <x v="0"/>
    <s v="Phone Charger"/>
    <n v="7"/>
    <n v="15000"/>
    <n v="105000"/>
    <x v="0"/>
  </r>
  <r>
    <s v="ORD-1004"/>
    <x v="44"/>
    <s v="Zainab Adewale"/>
    <x v="0"/>
    <x v="2"/>
    <s v="Table Lamp"/>
    <n v="4"/>
    <n v="2000"/>
    <n v="8000"/>
    <x v="2"/>
  </r>
  <r>
    <s v="ORD-1048"/>
    <x v="44"/>
    <s v="Tunde Balogun"/>
    <x v="1"/>
    <x v="0"/>
    <s v="Power Bank"/>
    <n v="8"/>
    <n v="2500"/>
    <n v="20000"/>
    <x v="1"/>
  </r>
  <r>
    <s v="ORD-1079"/>
    <x v="45"/>
    <s v="Ngozi Danjuma"/>
    <x v="3"/>
    <x v="2"/>
    <s v="Blender"/>
    <n v="5"/>
    <n v="2500"/>
    <n v="12500"/>
    <x v="1"/>
  </r>
  <r>
    <s v="ORD-1113"/>
    <x v="45"/>
    <s v="Chinedu Balogun"/>
    <x v="3"/>
    <x v="1"/>
    <s v="Face Wash"/>
    <n v="4"/>
    <n v="9500"/>
    <n v="38000"/>
    <x v="0"/>
  </r>
  <r>
    <s v="ORD-1005"/>
    <x v="46"/>
    <s v="Aisha Adeyemi"/>
    <x v="2"/>
    <x v="2"/>
    <s v="Cutlery Set"/>
    <n v="6"/>
    <n v="3200"/>
    <n v="19200"/>
    <x v="0"/>
  </r>
  <r>
    <s v="ORD-1003"/>
    <x v="47"/>
    <s v="Tunde Bello"/>
    <x v="3"/>
    <x v="4"/>
    <s v="Spaghetti Pack"/>
    <n v="2"/>
    <n v="5500"/>
    <n v="11000"/>
    <x v="1"/>
  </r>
  <r>
    <s v="ORD-1070"/>
    <x v="48"/>
    <s v="Grace Balogun"/>
    <x v="0"/>
    <x v="2"/>
    <s v="Storage Containers"/>
    <n v="3"/>
    <n v="9500"/>
    <n v="28500"/>
    <x v="2"/>
  </r>
  <r>
    <s v="ORD-1033"/>
    <x v="49"/>
    <s v="David Yusuf"/>
    <x v="3"/>
    <x v="2"/>
    <s v="Table Lamp"/>
    <n v="1"/>
    <n v="4000"/>
    <n v="4000"/>
    <x v="1"/>
  </r>
  <r>
    <s v="ORD-1091"/>
    <x v="50"/>
    <s v="Ibrahim Okonkwo"/>
    <x v="3"/>
    <x v="1"/>
    <s v="Face Wash"/>
    <n v="6"/>
    <n v="9500"/>
    <n v="57000"/>
    <x v="1"/>
  </r>
  <r>
    <s v="ORD-1002"/>
    <x v="51"/>
    <s v="Amaka Danjuma"/>
    <x v="0"/>
    <x v="1"/>
    <s v="Lip Gloss"/>
    <n v="4"/>
    <n v="9500"/>
    <n v="38000"/>
    <x v="0"/>
  </r>
  <r>
    <s v="ORD-1098"/>
    <x v="52"/>
    <s v="Tunde Eze"/>
    <x v="3"/>
    <x v="3"/>
    <s v="Jeans"/>
    <n v="2"/>
    <n v="4000"/>
    <n v="8000"/>
    <x v="0"/>
  </r>
  <r>
    <s v="ORD-1063"/>
    <x v="53"/>
    <s v="Femi Adewale"/>
    <x v="1"/>
    <x v="2"/>
    <s v="Storage Containers"/>
    <n v="8"/>
    <n v="2000"/>
    <n v="16000"/>
    <x v="1"/>
  </r>
  <r>
    <s v="ORD-1102"/>
    <x v="53"/>
    <s v="Tunde Okonkwo"/>
    <x v="0"/>
    <x v="3"/>
    <s v="Kids Sneakers"/>
    <n v="7"/>
    <n v="12000"/>
    <n v="84000"/>
    <x v="2"/>
  </r>
  <r>
    <s v="ORD-1108"/>
    <x v="54"/>
    <s v="Emeka Nwosu"/>
    <x v="3"/>
    <x v="0"/>
    <s v="Bluetooth Speaker"/>
    <n v="3"/>
    <n v="5500"/>
    <n v="16500"/>
    <x v="1"/>
  </r>
  <r>
    <s v="ORD-1013"/>
    <x v="54"/>
    <s v="Segun Eze"/>
    <x v="3"/>
    <x v="1"/>
    <s v="Perfume"/>
    <n v="8"/>
    <n v="2000"/>
    <n v="16000"/>
    <x v="2"/>
  </r>
  <r>
    <s v="ORD-1134"/>
    <x v="55"/>
    <s v="Kelechi Bello"/>
    <x v="0"/>
    <x v="1"/>
    <s v="Hair Relaxer"/>
    <n v="8"/>
    <n v="12000"/>
    <n v="96000"/>
    <x v="1"/>
  </r>
  <r>
    <s v="ORD-1131"/>
    <x v="55"/>
    <s v="Ngozi Bello"/>
    <x v="3"/>
    <x v="2"/>
    <s v="Non-stick Pan"/>
    <n v="3"/>
    <n v="9500"/>
    <n v="28500"/>
    <x v="2"/>
  </r>
  <r>
    <s v="ORD-1119"/>
    <x v="56"/>
    <s v="Chioma Adewale"/>
    <x v="0"/>
    <x v="0"/>
    <s v="Phone Charger"/>
    <n v="2"/>
    <n v="2000"/>
    <n v="4000"/>
    <x v="1"/>
  </r>
  <r>
    <s v="ORD-1104"/>
    <x v="57"/>
    <s v="Femi Nwosu"/>
    <x v="3"/>
    <x v="1"/>
    <s v="Shea Butter Cream"/>
    <n v="8"/>
    <n v="15000"/>
    <n v="120000"/>
    <x v="0"/>
  </r>
  <r>
    <s v="ORD-1114"/>
    <x v="57"/>
    <s v="David Nwosu"/>
    <x v="3"/>
    <x v="2"/>
    <s v="Storage Containers"/>
    <n v="5"/>
    <n v="7000"/>
    <n v="35000"/>
    <x v="0"/>
  </r>
  <r>
    <s v="ORD-1139"/>
    <x v="57"/>
    <s v="Chioma Nwosu"/>
    <x v="3"/>
    <x v="0"/>
    <s v="Power Bank"/>
    <n v="4"/>
    <n v="5500"/>
    <n v="22000"/>
    <x v="0"/>
  </r>
  <r>
    <s v="ORD-1009"/>
    <x v="58"/>
    <s v="Segun Adewale"/>
    <x v="0"/>
    <x v="2"/>
    <s v="Cutlery Set"/>
    <n v="5"/>
    <n v="12000"/>
    <n v="60000"/>
    <x v="2"/>
  </r>
  <r>
    <s v="ORD-1111"/>
    <x v="59"/>
    <s v="Uche Eze"/>
    <x v="0"/>
    <x v="1"/>
    <s v="Face Wash"/>
    <n v="6"/>
    <n v="4000"/>
    <n v="24000"/>
    <x v="2"/>
  </r>
  <r>
    <s v="ORD-1081"/>
    <x v="59"/>
    <s v="Tunde Okonkwo"/>
    <x v="1"/>
    <x v="3"/>
    <s v="Ankara Fabric"/>
    <n v="1"/>
    <n v="15000"/>
    <n v="15000"/>
    <x v="0"/>
  </r>
  <r>
    <s v="ORD-1076"/>
    <x v="60"/>
    <s v="Amaka Balogun"/>
    <x v="1"/>
    <x v="3"/>
    <s v="Ankara Fabric"/>
    <n v="2"/>
    <n v="3200"/>
    <n v="6400"/>
    <x v="1"/>
  </r>
  <r>
    <s v="ORD-1125"/>
    <x v="60"/>
    <s v="Grace Nwosu"/>
    <x v="2"/>
    <x v="2"/>
    <s v="Blender"/>
    <n v="5"/>
    <n v="2000"/>
    <n v="10000"/>
    <x v="0"/>
  </r>
  <r>
    <s v="ORD-1057"/>
    <x v="61"/>
    <s v="Fatima Balogun"/>
    <x v="3"/>
    <x v="0"/>
    <s v="Bluetooth Speaker"/>
    <n v="4"/>
    <n v="12000"/>
    <n v="48000"/>
    <x v="1"/>
  </r>
  <r>
    <s v="ORD-1103"/>
    <x v="62"/>
    <s v="Tunde Danjuma"/>
    <x v="0"/>
    <x v="4"/>
    <s v="Sugar 1kg"/>
    <n v="4"/>
    <n v="5500"/>
    <n v="22000"/>
    <x v="1"/>
  </r>
  <r>
    <s v="ORD-1135"/>
    <x v="63"/>
    <s v="Chinedu Bello"/>
    <x v="1"/>
    <x v="4"/>
    <s v="Sugar 1kg"/>
    <n v="3"/>
    <n v="4000"/>
    <n v="12000"/>
    <x v="2"/>
  </r>
  <r>
    <s v="ORD-1096"/>
    <x v="64"/>
    <s v="Ada Bello"/>
    <x v="0"/>
    <x v="2"/>
    <s v="Blender"/>
    <n v="4"/>
    <n v="7000"/>
    <n v="28000"/>
    <x v="1"/>
  </r>
  <r>
    <s v="ORD-1042"/>
    <x v="65"/>
    <s v="Ngozi Adewale"/>
    <x v="3"/>
    <x v="2"/>
    <s v="Cutlery Set"/>
    <n v="1"/>
    <n v="7000"/>
    <n v="7000"/>
    <x v="0"/>
  </r>
  <r>
    <s v="ORD-1112"/>
    <x v="66"/>
    <s v="Tunde Danjuma"/>
    <x v="0"/>
    <x v="4"/>
    <s v="Spaghetti Pack"/>
    <n v="1"/>
    <n v="5500"/>
    <n v="5500"/>
    <x v="0"/>
  </r>
  <r>
    <s v="ORD-1019"/>
    <x v="66"/>
    <s v="Chinedu Adewale"/>
    <x v="2"/>
    <x v="4"/>
    <s v="Cooking Oil 2L"/>
    <n v="1"/>
    <n v="5500"/>
    <n v="5500"/>
    <x v="2"/>
  </r>
  <r>
    <s v="ORD-1122"/>
    <x v="67"/>
    <s v="Chinedu Eze"/>
    <x v="2"/>
    <x v="0"/>
    <s v="Phone Charger"/>
    <n v="6"/>
    <n v="2500"/>
    <n v="15000"/>
    <x v="0"/>
  </r>
  <r>
    <s v="ORD-1026"/>
    <x v="67"/>
    <s v="Bimpe Adeyemi"/>
    <x v="0"/>
    <x v="1"/>
    <s v="Shea Butter Cream"/>
    <n v="1"/>
    <n v="5500"/>
    <n v="5500"/>
    <x v="0"/>
  </r>
  <r>
    <s v="ORD-1115"/>
    <x v="68"/>
    <s v="Grace Eze"/>
    <x v="2"/>
    <x v="4"/>
    <s v="Rice 5kg"/>
    <n v="2"/>
    <n v="12000"/>
    <n v="24000"/>
    <x v="2"/>
  </r>
  <r>
    <s v="ORD-1080"/>
    <x v="69"/>
    <s v="Emeka Balogun"/>
    <x v="0"/>
    <x v="2"/>
    <s v="Blender"/>
    <n v="6"/>
    <n v="2000"/>
    <n v="12000"/>
    <x v="1"/>
  </r>
  <r>
    <s v="ORD-1094"/>
    <x v="69"/>
    <s v="Tunde Eze"/>
    <x v="1"/>
    <x v="4"/>
    <s v="Cooking Oil 2L"/>
    <n v="6"/>
    <n v="2000"/>
    <n v="12000"/>
    <x v="1"/>
  </r>
  <r>
    <s v="ORD-1109"/>
    <x v="69"/>
    <s v="Kelechi Bello"/>
    <x v="2"/>
    <x v="0"/>
    <s v="Bluetooth Speaker"/>
    <n v="7"/>
    <n v="4000"/>
    <n v="28000"/>
    <x v="1"/>
  </r>
  <r>
    <s v="ORD-1037"/>
    <x v="70"/>
    <s v="Ibrahim Danjuma"/>
    <x v="1"/>
    <x v="0"/>
    <s v="Phone Charger"/>
    <n v="6"/>
    <n v="9500"/>
    <n v="57000"/>
    <x v="0"/>
  </r>
  <r>
    <s v="ORD-1130"/>
    <x v="70"/>
    <s v="Uche Balogun"/>
    <x v="3"/>
    <x v="0"/>
    <s v="Power Bank"/>
    <n v="2"/>
    <n v="4000"/>
    <n v="8000"/>
    <x v="1"/>
  </r>
  <r>
    <s v="ORD-1140"/>
    <x v="70"/>
    <s v="Aisha Danjuma"/>
    <x v="1"/>
    <x v="3"/>
    <s v="Women's Blouse"/>
    <n v="2"/>
    <n v="5500"/>
    <n v="11000"/>
    <x v="2"/>
  </r>
  <r>
    <s v="ORD-1047"/>
    <x v="71"/>
    <s v="Blessing Bello"/>
    <x v="0"/>
    <x v="4"/>
    <s v="Spaghetti Pack"/>
    <n v="1"/>
    <n v="5500"/>
    <n v="5500"/>
    <x v="0"/>
  </r>
  <r>
    <s v="ORD-1129"/>
    <x v="72"/>
    <s v="Ibrahim Bello"/>
    <x v="2"/>
    <x v="2"/>
    <s v="Storage Containers"/>
    <n v="3"/>
    <n v="12000"/>
    <n v="36000"/>
    <x v="1"/>
  </r>
  <r>
    <s v="ORD-1046"/>
    <x v="73"/>
    <s v="Zainab Bello"/>
    <x v="0"/>
    <x v="1"/>
    <s v="Hair Relaxer"/>
    <n v="1"/>
    <n v="4000"/>
    <n v="4000"/>
    <x v="0"/>
  </r>
  <r>
    <s v="ORD-1107"/>
    <x v="74"/>
    <s v="Amaka Eze"/>
    <x v="1"/>
    <x v="0"/>
    <s v="USB Cable"/>
    <n v="8"/>
    <n v="12000"/>
    <n v="96000"/>
    <x v="2"/>
  </r>
  <r>
    <s v="ORD-1074"/>
    <x v="75"/>
    <s v="Femi Bello"/>
    <x v="3"/>
    <x v="2"/>
    <s v="Blender"/>
    <n v="7"/>
    <n v="15000"/>
    <n v="105000"/>
    <x v="0"/>
  </r>
  <r>
    <s v="ORD-1088"/>
    <x v="76"/>
    <s v="Uche Okonkwo"/>
    <x v="0"/>
    <x v="1"/>
    <s v="Face Wash"/>
    <n v="1"/>
    <n v="12000"/>
    <n v="12000"/>
    <x v="1"/>
  </r>
  <r>
    <s v="ORD-1097"/>
    <x v="77"/>
    <s v="Ngozi Adeyemi"/>
    <x v="0"/>
    <x v="1"/>
    <s v="Shea Butter Cream"/>
    <n v="1"/>
    <n v="2000"/>
    <n v="2000"/>
    <x v="1"/>
  </r>
  <r>
    <s v="ORD-1058"/>
    <x v="78"/>
    <s v="Tunde Okonkwo"/>
    <x v="0"/>
    <x v="3"/>
    <s v="Jeans"/>
    <n v="4"/>
    <n v="4000"/>
    <n v="16000"/>
    <x v="0"/>
  </r>
  <r>
    <s v="ORD-1138"/>
    <x v="78"/>
    <s v="Ada Nwosu"/>
    <x v="1"/>
    <x v="1"/>
    <s v="Lip Gloss"/>
    <n v="5"/>
    <n v="4000"/>
    <n v="20000"/>
    <x v="1"/>
  </r>
  <r>
    <s v="ORD-1105"/>
    <x v="79"/>
    <s v="Grace Nwosu"/>
    <x v="1"/>
    <x v="4"/>
    <s v="Rice 5kg"/>
    <n v="5"/>
    <n v="4000"/>
    <n v="20000"/>
    <x v="0"/>
  </r>
  <r>
    <s v="ORD-1066"/>
    <x v="79"/>
    <s v="Tunde Okafor"/>
    <x v="1"/>
    <x v="3"/>
    <s v="Kids Sneakers"/>
    <n v="4"/>
    <n v="2500"/>
    <n v="10000"/>
    <x v="1"/>
  </r>
  <r>
    <s v="ORD-1121"/>
    <x v="80"/>
    <s v="Grace Okafor"/>
    <x v="0"/>
    <x v="1"/>
    <s v="Face Wash"/>
    <n v="7"/>
    <n v="5500"/>
    <n v="38500"/>
    <x v="1"/>
  </r>
  <r>
    <s v="ORD-1136"/>
    <x v="80"/>
    <s v="Yemi Okonkwo"/>
    <x v="2"/>
    <x v="1"/>
    <s v="Shea Butter Cream"/>
    <n v="5"/>
    <n v="2500"/>
    <n v="12500"/>
    <x v="0"/>
  </r>
  <r>
    <s v="ORD-1038"/>
    <x v="81"/>
    <s v="Yemi Okonkwo"/>
    <x v="1"/>
    <x v="4"/>
    <s v="Tomato Paste"/>
    <n v="5"/>
    <n v="12000"/>
    <n v="60000"/>
    <x v="1"/>
  </r>
  <r>
    <s v="ORD-1006"/>
    <x v="81"/>
    <s v="Segun Yusuf"/>
    <x v="3"/>
    <x v="4"/>
    <s v="Tomato Paste"/>
    <n v="4"/>
    <n v="5500"/>
    <n v="22000"/>
    <x v="2"/>
  </r>
  <r>
    <s v="ORD-1007"/>
    <x v="82"/>
    <s v="Grace Balogun"/>
    <x v="2"/>
    <x v="1"/>
    <s v="Hair Relaxer"/>
    <n v="8"/>
    <n v="2500"/>
    <n v="20000"/>
    <x v="1"/>
  </r>
  <r>
    <s v="ORD-1106"/>
    <x v="83"/>
    <s v="Zainab Bello"/>
    <x v="0"/>
    <x v="0"/>
    <s v="Wireless Earbuds"/>
    <n v="2"/>
    <n v="15000"/>
    <n v="30000"/>
    <x v="0"/>
  </r>
  <r>
    <s v="ORD-1117"/>
    <x v="84"/>
    <s v="Kelechi Bello"/>
    <x v="3"/>
    <x v="3"/>
    <s v="Men's T-Shirt"/>
    <n v="6"/>
    <n v="2500"/>
    <n v="15000"/>
    <x v="2"/>
  </r>
  <r>
    <s v="ORD-1071"/>
    <x v="85"/>
    <s v="Ngozi Balogun"/>
    <x v="1"/>
    <x v="1"/>
    <s v="Shea Butter Cream"/>
    <n v="3"/>
    <n v="2000"/>
    <n v="6000"/>
    <x v="1"/>
  </r>
  <r>
    <s v="ORD-1064"/>
    <x v="86"/>
    <s v="Grace Yusuf"/>
    <x v="2"/>
    <x v="4"/>
    <s v="Tomato Paste"/>
    <n v="7"/>
    <n v="12000"/>
    <n v="84000"/>
    <x v="2"/>
  </r>
  <r>
    <s v="ORD-1093"/>
    <x v="87"/>
    <s v="Chioma Eze"/>
    <x v="2"/>
    <x v="0"/>
    <s v="Bluetooth Speaker"/>
    <n v="7"/>
    <n v="1500"/>
    <n v="10500"/>
    <x v="1"/>
  </r>
  <r>
    <s v="ORD-1028"/>
    <x v="88"/>
    <s v="Kelechi Balogun"/>
    <x v="0"/>
    <x v="2"/>
    <s v="Blender"/>
    <n v="4"/>
    <n v="4000"/>
    <n v="16000"/>
    <x v="2"/>
  </r>
  <r>
    <s v="ORD-1077"/>
    <x v="89"/>
    <s v="Ada Adewale"/>
    <x v="1"/>
    <x v="0"/>
    <s v="Wireless Earbuds"/>
    <n v="1"/>
    <n v="15000"/>
    <n v="15000"/>
    <x v="0"/>
  </r>
  <r>
    <s v="ORD-1084"/>
    <x v="89"/>
    <s v="Aisha Bello"/>
    <x v="1"/>
    <x v="2"/>
    <s v="Blender"/>
    <n v="6"/>
    <n v="12000"/>
    <n v="72000"/>
    <x v="0"/>
  </r>
  <r>
    <s v="ORD-1061"/>
    <x v="90"/>
    <s v="Tunde Nwosu"/>
    <x v="2"/>
    <x v="1"/>
    <s v="Face Wash"/>
    <n v="5"/>
    <n v="7000"/>
    <n v="35000"/>
    <x v="1"/>
  </r>
  <r>
    <s v="ORD-1052"/>
    <x v="91"/>
    <s v="Emeka Balogun"/>
    <x v="0"/>
    <x v="0"/>
    <s v="Wireless Earbuds"/>
    <n v="4"/>
    <n v="4000"/>
    <n v="16000"/>
    <x v="0"/>
  </r>
  <r>
    <s v="ORD-1055"/>
    <x v="92"/>
    <s v="Fatima Yusuf"/>
    <x v="0"/>
    <x v="3"/>
    <s v="Men's T-Shirt"/>
    <n v="3"/>
    <n v="9500"/>
    <n v="285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A7E687-DEEE-4812-977F-D174E3312F6B}"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C20:D27" firstHeaderRow="1" firstDataRow="1" firstDataCol="1"/>
  <pivotFields count="13">
    <pivotField showAll="0"/>
    <pivotField numFmtId="166"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showAll="0">
      <items count="5">
        <item x="3"/>
        <item x="1"/>
        <item x="0"/>
        <item x="2"/>
        <item t="default"/>
      </items>
    </pivotField>
    <pivotField showAll="0">
      <items count="6">
        <item x="3"/>
        <item x="1"/>
        <item x="0"/>
        <item x="4"/>
        <item x="2"/>
        <item t="default"/>
      </items>
    </pivotField>
    <pivotField showAll="0"/>
    <pivotField showAll="0"/>
    <pivotField numFmtId="3" showAll="0"/>
    <pivotField dataField="1" numFmtId="3" showAll="0"/>
    <pivotField showAll="0">
      <items count="4">
        <item x="1"/>
        <item x="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1"/>
  </rowFields>
  <rowItems count="7">
    <i>
      <x v="1"/>
    </i>
    <i>
      <x v="2"/>
    </i>
    <i>
      <x v="3"/>
    </i>
    <i>
      <x v="4"/>
    </i>
    <i>
      <x v="5"/>
    </i>
    <i>
      <x v="6"/>
    </i>
    <i t="grand">
      <x/>
    </i>
  </rowItems>
  <colItems count="1">
    <i/>
  </colItems>
  <dataFields count="1">
    <dataField name=" Total Sales in (₦)" fld="8" baseField="4" baseItem="0" numFmtId="3"/>
  </dataFields>
  <formats count="16">
    <format dxfId="315">
      <pivotArea type="all" dataOnly="0" outline="0" fieldPosition="0"/>
    </format>
    <format dxfId="314">
      <pivotArea outline="0" collapsedLevelsAreSubtotals="1" fieldPosition="0"/>
    </format>
    <format dxfId="313">
      <pivotArea field="4" type="button" dataOnly="0" labelOnly="1" outline="0"/>
    </format>
    <format dxfId="312">
      <pivotArea dataOnly="0" labelOnly="1" outline="0" fieldPosition="0">
        <references count="1">
          <reference field="4294967294" count="1">
            <x v="0"/>
          </reference>
        </references>
      </pivotArea>
    </format>
    <format dxfId="311">
      <pivotArea field="4" type="button" dataOnly="0" labelOnly="1" outline="0"/>
    </format>
    <format dxfId="310">
      <pivotArea dataOnly="0" labelOnly="1" outline="0" fieldPosition="0">
        <references count="1">
          <reference field="4294967294" count="1">
            <x v="0"/>
          </reference>
        </references>
      </pivotArea>
    </format>
    <format dxfId="309">
      <pivotArea dataOnly="0" labelOnly="1" outline="0" axis="axisValues" fieldPosition="0"/>
    </format>
    <format dxfId="308">
      <pivotArea dataOnly="0" labelOnly="1" outline="0" axis="axisValues" fieldPosition="0"/>
    </format>
    <format dxfId="307">
      <pivotArea dataOnly="0" labelOnly="1" outline="0" axis="axisValues" fieldPosition="0"/>
    </format>
    <format dxfId="306">
      <pivotArea field="11" type="button" dataOnly="0" labelOnly="1" outline="0" axis="axisRow" fieldPosition="0"/>
    </format>
    <format dxfId="305">
      <pivotArea dataOnly="0" labelOnly="1" fieldPosition="0">
        <references count="1">
          <reference field="11" count="6">
            <x v="1"/>
            <x v="2"/>
            <x v="3"/>
            <x v="4"/>
            <x v="5"/>
            <x v="6"/>
          </reference>
        </references>
      </pivotArea>
    </format>
    <format dxfId="304">
      <pivotArea dataOnly="0" labelOnly="1" grandRow="1" outline="0" fieldPosition="0"/>
    </format>
    <format dxfId="303">
      <pivotArea field="11" type="button" dataOnly="0" labelOnly="1" outline="0" axis="axisRow" fieldPosition="0"/>
    </format>
    <format dxfId="302">
      <pivotArea dataOnly="0" labelOnly="1" fieldPosition="0">
        <references count="1">
          <reference field="11" count="6">
            <x v="1"/>
            <x v="2"/>
            <x v="3"/>
            <x v="4"/>
            <x v="5"/>
            <x v="6"/>
          </reference>
        </references>
      </pivotArea>
    </format>
    <format dxfId="301">
      <pivotArea dataOnly="0" labelOnly="1" grandRow="1" outline="0" fieldPosition="0"/>
    </format>
    <format dxfId="300">
      <pivotArea field="11" type="button" dataOnly="0" labelOnly="1" outline="0" axis="axisRow"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133E2F-6F72-4484-AEDB-70F4B4AA425E}"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y">
  <location ref="C12:E18" firstHeaderRow="0" firstDataRow="1" firstDataCol="1"/>
  <pivotFields count="13">
    <pivotField showAll="0"/>
    <pivotField numFmtId="166"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showAll="0">
      <items count="5">
        <item x="3"/>
        <item x="1"/>
        <item x="0"/>
        <item x="2"/>
        <item t="default"/>
      </items>
    </pivotField>
    <pivotField axis="axisRow" showAll="0">
      <items count="6">
        <item x="3"/>
        <item x="1"/>
        <item x="0"/>
        <item x="4"/>
        <item x="2"/>
        <item t="default"/>
      </items>
    </pivotField>
    <pivotField showAll="0"/>
    <pivotField showAll="0"/>
    <pivotField numFmtId="3" showAll="0"/>
    <pivotField dataField="1" numFmtId="3" showAll="0"/>
    <pivotField showAll="0">
      <items count="4">
        <item x="1"/>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6">
    <i>
      <x/>
    </i>
    <i>
      <x v="1"/>
    </i>
    <i>
      <x v="2"/>
    </i>
    <i>
      <x v="3"/>
    </i>
    <i>
      <x v="4"/>
    </i>
    <i t="grand">
      <x/>
    </i>
  </rowItems>
  <colFields count="1">
    <field x="-2"/>
  </colFields>
  <colItems count="2">
    <i>
      <x/>
    </i>
    <i i="1">
      <x v="1"/>
    </i>
  </colItems>
  <dataFields count="2">
    <dataField name=" Total Sales in (₦)" fld="8" baseField="4" baseItem="0" numFmtId="3"/>
    <dataField name=" Order" fld="8" subtotal="count" baseField="4" baseItem="0"/>
  </dataFields>
  <formats count="12">
    <format dxfId="327">
      <pivotArea type="all" dataOnly="0" outline="0" fieldPosition="0"/>
    </format>
    <format dxfId="326">
      <pivotArea outline="0" collapsedLevelsAreSubtotals="1" fieldPosition="0"/>
    </format>
    <format dxfId="325">
      <pivotArea dataOnly="0" labelOnly="1" outline="0" fieldPosition="0">
        <references count="1">
          <reference field="4294967294" count="2">
            <x v="0"/>
            <x v="1"/>
          </reference>
        </references>
      </pivotArea>
    </format>
    <format dxfId="324">
      <pivotArea dataOnly="0" labelOnly="1" outline="0" fieldPosition="0">
        <references count="1">
          <reference field="4294967294" count="2">
            <x v="0"/>
            <x v="1"/>
          </reference>
        </references>
      </pivotArea>
    </format>
    <format dxfId="323">
      <pivotArea dataOnly="0" labelOnly="1" outline="0" fieldPosition="0">
        <references count="1">
          <reference field="4294967294" count="2">
            <x v="0"/>
            <x v="1"/>
          </reference>
        </references>
      </pivotArea>
    </format>
    <format dxfId="322">
      <pivotArea field="4" type="button" dataOnly="0" labelOnly="1" outline="0" axis="axisRow" fieldPosition="0"/>
    </format>
    <format dxfId="321">
      <pivotArea dataOnly="0" labelOnly="1" fieldPosition="0">
        <references count="1">
          <reference field="4" count="0"/>
        </references>
      </pivotArea>
    </format>
    <format dxfId="320">
      <pivotArea dataOnly="0" labelOnly="1" grandRow="1" outline="0" fieldPosition="0"/>
    </format>
    <format dxfId="319">
      <pivotArea field="4" type="button" dataOnly="0" labelOnly="1" outline="0" axis="axisRow" fieldPosition="0"/>
    </format>
    <format dxfId="318">
      <pivotArea dataOnly="0" labelOnly="1" fieldPosition="0">
        <references count="1">
          <reference field="4" count="0"/>
        </references>
      </pivotArea>
    </format>
    <format dxfId="317">
      <pivotArea dataOnly="0" labelOnly="1" grandRow="1" outline="0" fieldPosition="0"/>
    </format>
    <format dxfId="316">
      <pivotArea field="4"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4A3A1D-E5D7-4956-8411-F759AC1D5EA3}"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C4:E9" firstHeaderRow="0" firstDataRow="1" firstDataCol="1"/>
  <pivotFields count="13">
    <pivotField showAll="0"/>
    <pivotField numFmtId="166" showAll="0">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showAll="0"/>
    <pivotField axis="axisRow" showAll="0">
      <items count="5">
        <item x="3"/>
        <item x="1"/>
        <item x="0"/>
        <item x="2"/>
        <item t="default"/>
      </items>
    </pivotField>
    <pivotField showAll="0">
      <items count="6">
        <item x="3"/>
        <item x="1"/>
        <item x="0"/>
        <item x="4"/>
        <item x="2"/>
        <item t="default"/>
      </items>
    </pivotField>
    <pivotField showAll="0"/>
    <pivotField showAll="0"/>
    <pivotField dataField="1" numFmtId="3" showAll="0"/>
    <pivotField dataField="1" numFmtId="3" showAll="0"/>
    <pivotField showAll="0">
      <items count="4">
        <item x="1"/>
        <item x="2"/>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5">
    <i>
      <x/>
    </i>
    <i>
      <x v="1"/>
    </i>
    <i>
      <x v="2"/>
    </i>
    <i>
      <x v="3"/>
    </i>
    <i t="grand">
      <x/>
    </i>
  </rowItems>
  <colFields count="1">
    <field x="-2"/>
  </colFields>
  <colItems count="2">
    <i>
      <x/>
    </i>
    <i i="1">
      <x v="1"/>
    </i>
  </colItems>
  <dataFields count="2">
    <dataField name="Total Sales in (₦)" fld="8" baseField="3" baseItem="0" numFmtId="3"/>
    <dataField name="Order  " fld="7" subtotal="count" baseField="3" baseItem="0"/>
  </dataFields>
  <formats count="13">
    <format dxfId="340">
      <pivotArea type="all" dataOnly="0" outline="0" fieldPosition="0"/>
    </format>
    <format dxfId="339">
      <pivotArea outline="0" collapsedLevelsAreSubtotals="1" fieldPosition="0"/>
    </format>
    <format dxfId="338">
      <pivotArea dataOnly="0" labelOnly="1" outline="0" fieldPosition="0">
        <references count="1">
          <reference field="4294967294" count="2">
            <x v="0"/>
            <x v="1"/>
          </reference>
        </references>
      </pivotArea>
    </format>
    <format dxfId="337">
      <pivotArea dataOnly="0" labelOnly="1" outline="0" fieldPosition="0">
        <references count="1">
          <reference field="4294967294" count="2">
            <x v="0"/>
            <x v="1"/>
          </reference>
        </references>
      </pivotArea>
    </format>
    <format dxfId="336">
      <pivotArea dataOnly="0" grandRow="1" fieldPosition="0"/>
    </format>
    <format dxfId="335">
      <pivotArea dataOnly="0" labelOnly="1" outline="0" fieldPosition="0">
        <references count="1">
          <reference field="4294967294" count="2">
            <x v="0"/>
            <x v="1"/>
          </reference>
        </references>
      </pivotArea>
    </format>
    <format dxfId="334">
      <pivotArea field="3" type="button" dataOnly="0" labelOnly="1" outline="0" axis="axisRow" fieldPosition="0"/>
    </format>
    <format dxfId="333">
      <pivotArea dataOnly="0" labelOnly="1" fieldPosition="0">
        <references count="1">
          <reference field="3" count="0"/>
        </references>
      </pivotArea>
    </format>
    <format dxfId="332">
      <pivotArea dataOnly="0" labelOnly="1" grandRow="1" outline="0" fieldPosition="0"/>
    </format>
    <format dxfId="331">
      <pivotArea field="3" type="button" dataOnly="0" labelOnly="1" outline="0" axis="axisRow" fieldPosition="0"/>
    </format>
    <format dxfId="330">
      <pivotArea dataOnly="0" labelOnly="1" fieldPosition="0">
        <references count="1">
          <reference field="3" count="0"/>
        </references>
      </pivotArea>
    </format>
    <format dxfId="329">
      <pivotArea dataOnly="0" labelOnly="1" grandRow="1" outline="0" fieldPosition="0"/>
    </format>
    <format dxfId="328">
      <pivotArea field="3"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CA533B-17FF-4C20-B500-39E5FD69F753}" sourceName="Region">
  <pivotTables>
    <pivotTable tabId="3" name="PivotTable1"/>
    <pivotTable tabId="3" name="PivotTable2"/>
    <pivotTable tabId="3" name="PivotTable4"/>
  </pivotTables>
  <data>
    <tabular pivotCacheId="103815369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CB69A4-EDA7-4A5C-ADA5-2204D0E42661}" sourceName="Category">
  <pivotTables>
    <pivotTable tabId="3" name="PivotTable1"/>
  </pivotTables>
  <data>
    <tabular pivotCacheId="1038153699">
      <items count="5">
        <i x="3" s="1"/>
        <i x="1"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35CCF67-F62A-4ADD-9B3E-FA2143CE8500}" sourceName="Months (Date)">
  <pivotTables>
    <pivotTable tabId="3" name="PivotTable4"/>
    <pivotTable tabId="3" name="PivotTable1"/>
    <pivotTable tabId="3" name="PivotTable2"/>
  </pivotTables>
  <data>
    <tabular pivotCacheId="1038153699">
      <items count="14">
        <i x="1" s="1"/>
        <i x="2" s="1"/>
        <i x="3" s="1"/>
        <i x="4" s="1"/>
        <i x="5" s="1"/>
        <i x="6" s="1"/>
        <i x="7" s="1" nd="1"/>
        <i x="8" s="1" nd="1"/>
        <i x="9" s="1" nd="1"/>
        <i x="10" s="1" nd="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6A84DA4-729A-4502-9542-5BB2657A48A4}" sourceName="Payment Method">
  <pivotTables>
    <pivotTable tabId="3" name="PivotTable1"/>
    <pivotTable tabId="3" name="PivotTable2"/>
    <pivotTable tabId="3" name="PivotTable4"/>
  </pivotTables>
  <data>
    <tabular pivotCacheId="103815369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7723436-00A6-4173-84FF-47DB084E6881}" cache="Slicer_Region" caption="Region" columnCount="2" style="SlicerStyleDark1" rowHeight="234950"/>
  <slicer name="Category" xr10:uid="{9C4A07E8-72CC-4471-B835-644084DCB084}" cache="Slicer_Category" caption="Category" columnCount="2" style="SlicerStyleDark1" rowHeight="234950"/>
  <slicer name="Months (Date)" xr10:uid="{26148A7B-3275-4ACF-9AF1-0C36F6FA9791}" cache="Slicer_Months__Date" caption="Months (Date)" style="SlicerStyleDark1" rowHeight="234950"/>
  <slicer name="Payment Method" xr10:uid="{D29A6702-954E-4581-83CB-A26AD64855EA}" cache="Slicer_Payment_Method" caption="Payment Method" columnCount="3" style="SlicerStyleDark1"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3C483-8B9F-41B7-A5B6-6C1D4EABC968}">
  <dimension ref="A1:A44"/>
  <sheetViews>
    <sheetView showGridLines="0" topLeftCell="A38" workbookViewId="0">
      <selection activeCell="A53" sqref="A53"/>
    </sheetView>
  </sheetViews>
  <sheetFormatPr defaultRowHeight="14.4" x14ac:dyDescent="0.3"/>
  <cols>
    <col min="1" max="1" width="105" customWidth="1"/>
  </cols>
  <sheetData>
    <row r="1" spans="1:1" ht="22.8" x14ac:dyDescent="0.4">
      <c r="A1" s="20" t="s">
        <v>465</v>
      </c>
    </row>
    <row r="2" spans="1:1" x14ac:dyDescent="0.3">
      <c r="A2" s="2" t="s">
        <v>466</v>
      </c>
    </row>
    <row r="4" spans="1:1" ht="16.8" x14ac:dyDescent="0.3">
      <c r="A4" s="15" t="s">
        <v>467</v>
      </c>
    </row>
    <row r="5" spans="1:1" x14ac:dyDescent="0.3">
      <c r="A5" s="19" t="s">
        <v>468</v>
      </c>
    </row>
    <row r="7" spans="1:1" ht="16.8" x14ac:dyDescent="0.3">
      <c r="A7" s="15" t="s">
        <v>469</v>
      </c>
    </row>
    <row r="8" spans="1:1" x14ac:dyDescent="0.3">
      <c r="A8" s="19" t="s">
        <v>470</v>
      </c>
    </row>
    <row r="9" spans="1:1" x14ac:dyDescent="0.3">
      <c r="A9" s="19" t="s">
        <v>471</v>
      </c>
    </row>
    <row r="10" spans="1:1" x14ac:dyDescent="0.3">
      <c r="A10" s="19" t="s">
        <v>472</v>
      </c>
    </row>
    <row r="12" spans="1:1" ht="16.8" x14ac:dyDescent="0.3">
      <c r="A12" s="15" t="s">
        <v>473</v>
      </c>
    </row>
    <row r="13" spans="1:1" x14ac:dyDescent="0.3">
      <c r="A13" s="19" t="s">
        <v>474</v>
      </c>
    </row>
    <row r="14" spans="1:1" x14ac:dyDescent="0.3">
      <c r="A14" s="19" t="s">
        <v>475</v>
      </c>
    </row>
    <row r="15" spans="1:1" x14ac:dyDescent="0.3">
      <c r="A15" s="19" t="s">
        <v>476</v>
      </c>
    </row>
    <row r="16" spans="1:1" x14ac:dyDescent="0.3">
      <c r="A16" s="19" t="s">
        <v>477</v>
      </c>
    </row>
    <row r="17" spans="1:1" x14ac:dyDescent="0.3">
      <c r="A17" s="19" t="s">
        <v>478</v>
      </c>
    </row>
    <row r="18" spans="1:1" x14ac:dyDescent="0.3">
      <c r="A18" s="19" t="s">
        <v>479</v>
      </c>
    </row>
    <row r="19" spans="1:1" x14ac:dyDescent="0.3">
      <c r="A19" s="19" t="s">
        <v>480</v>
      </c>
    </row>
    <row r="21" spans="1:1" ht="16.8" x14ac:dyDescent="0.3">
      <c r="A21" s="15" t="s">
        <v>481</v>
      </c>
    </row>
    <row r="22" spans="1:1" x14ac:dyDescent="0.3">
      <c r="A22" s="19" t="s">
        <v>482</v>
      </c>
    </row>
    <row r="24" spans="1:1" x14ac:dyDescent="0.3">
      <c r="A24" s="16" t="s">
        <v>483</v>
      </c>
    </row>
    <row r="26" spans="1:1" ht="16.8" x14ac:dyDescent="0.3">
      <c r="A26" s="15" t="s">
        <v>484</v>
      </c>
    </row>
    <row r="27" spans="1:1" x14ac:dyDescent="0.3">
      <c r="A27" s="19" t="s">
        <v>485</v>
      </c>
    </row>
    <row r="28" spans="1:1" x14ac:dyDescent="0.3">
      <c r="A28" s="19" t="s">
        <v>486</v>
      </c>
    </row>
    <row r="29" spans="1:1" x14ac:dyDescent="0.3">
      <c r="A29" s="19" t="s">
        <v>487</v>
      </c>
    </row>
    <row r="30" spans="1:1" x14ac:dyDescent="0.3">
      <c r="A30" s="19" t="s">
        <v>488</v>
      </c>
    </row>
    <row r="32" spans="1:1" ht="16.8" x14ac:dyDescent="0.3">
      <c r="A32" s="15" t="s">
        <v>489</v>
      </c>
    </row>
    <row r="33" spans="1:1" x14ac:dyDescent="0.3">
      <c r="A33" s="19" t="s">
        <v>490</v>
      </c>
    </row>
    <row r="34" spans="1:1" x14ac:dyDescent="0.3">
      <c r="A34" s="19" t="s">
        <v>491</v>
      </c>
    </row>
    <row r="35" spans="1:1" x14ac:dyDescent="0.3">
      <c r="A35" s="19" t="s">
        <v>492</v>
      </c>
    </row>
    <row r="37" spans="1:1" ht="16.8" x14ac:dyDescent="0.3">
      <c r="A37" s="15" t="s">
        <v>493</v>
      </c>
    </row>
    <row r="38" spans="1:1" x14ac:dyDescent="0.3">
      <c r="A38" s="19" t="s">
        <v>494</v>
      </c>
    </row>
    <row r="40" spans="1:1" ht="16.8" x14ac:dyDescent="0.3">
      <c r="A40" s="15" t="s">
        <v>495</v>
      </c>
    </row>
    <row r="41" spans="1:1" x14ac:dyDescent="0.3">
      <c r="A41" s="19" t="s">
        <v>496</v>
      </c>
    </row>
    <row r="43" spans="1:1" ht="16.8" x14ac:dyDescent="0.3">
      <c r="A43" s="15" t="s">
        <v>497</v>
      </c>
    </row>
    <row r="44" spans="1:1" x14ac:dyDescent="0.3">
      <c r="A44" s="19" t="s">
        <v>498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2AFF6-9489-4660-92D4-885998DB15AC}">
  <dimension ref="A1:K149"/>
  <sheetViews>
    <sheetView zoomScaleNormal="100" workbookViewId="0">
      <pane ySplit="1" topLeftCell="A2" activePane="bottomLeft" state="frozen"/>
      <selection pane="bottomLeft" activeCell="N15" sqref="N15"/>
    </sheetView>
  </sheetViews>
  <sheetFormatPr defaultColWidth="8.6640625" defaultRowHeight="14.4" x14ac:dyDescent="0.3"/>
  <cols>
    <col min="1" max="1" width="12" customWidth="1"/>
    <col min="2" max="2" width="14" customWidth="1"/>
    <col min="3" max="3" width="20" customWidth="1"/>
    <col min="4" max="5" width="16" customWidth="1"/>
    <col min="6" max="6" width="20" customWidth="1"/>
    <col min="7" max="7" width="10" customWidth="1"/>
    <col min="8" max="8" width="11" customWidth="1"/>
    <col min="9" max="9" width="15" customWidth="1"/>
  </cols>
  <sheetData>
    <row r="1" spans="1:11" ht="14.25" customHeight="1" x14ac:dyDescent="0.3">
      <c r="A1" s="1" t="s">
        <v>0</v>
      </c>
      <c r="B1" s="1" t="s">
        <v>1</v>
      </c>
      <c r="C1" s="1" t="s">
        <v>2</v>
      </c>
      <c r="D1" s="1" t="s">
        <v>3</v>
      </c>
      <c r="E1" s="1" t="s">
        <v>4</v>
      </c>
      <c r="F1" s="1" t="s">
        <v>5</v>
      </c>
      <c r="G1" s="1" t="s">
        <v>6</v>
      </c>
      <c r="H1" s="1" t="s">
        <v>7</v>
      </c>
      <c r="I1" s="1" t="s">
        <v>8</v>
      </c>
      <c r="K1" s="2"/>
    </row>
    <row r="2" spans="1:11" ht="14.25" customHeight="1" x14ac:dyDescent="0.3">
      <c r="A2" s="3" t="s">
        <v>9</v>
      </c>
      <c r="B2" s="3" t="s">
        <v>10</v>
      </c>
      <c r="C2" s="3" t="s">
        <v>11</v>
      </c>
      <c r="D2" s="3" t="s">
        <v>12</v>
      </c>
      <c r="E2" s="3" t="s">
        <v>13</v>
      </c>
      <c r="F2" s="3" t="s">
        <v>14</v>
      </c>
      <c r="G2" s="3">
        <v>8</v>
      </c>
      <c r="H2" s="3">
        <v>2000</v>
      </c>
      <c r="I2" s="3" t="s">
        <v>15</v>
      </c>
    </row>
    <row r="3" spans="1:11" ht="14.25" customHeight="1" x14ac:dyDescent="0.3">
      <c r="A3" s="3" t="s">
        <v>16</v>
      </c>
      <c r="B3" s="3" t="s">
        <v>17</v>
      </c>
      <c r="C3" s="3" t="s">
        <v>18</v>
      </c>
      <c r="D3" s="3" t="s">
        <v>19</v>
      </c>
      <c r="E3" s="3" t="s">
        <v>13</v>
      </c>
      <c r="F3" s="3" t="s">
        <v>20</v>
      </c>
      <c r="G3" s="3">
        <v>4</v>
      </c>
      <c r="H3" s="3">
        <v>4000</v>
      </c>
      <c r="I3" s="3" t="s">
        <v>21</v>
      </c>
    </row>
    <row r="4" spans="1:11" ht="14.25" customHeight="1" x14ac:dyDescent="0.3">
      <c r="A4" s="3" t="s">
        <v>22</v>
      </c>
      <c r="B4" s="3" t="s">
        <v>23</v>
      </c>
      <c r="C4" s="3" t="s">
        <v>24</v>
      </c>
      <c r="D4" s="3" t="s">
        <v>25</v>
      </c>
      <c r="E4" s="3" t="s">
        <v>26</v>
      </c>
      <c r="F4" s="3" t="s">
        <v>27</v>
      </c>
      <c r="G4" s="3">
        <v>5</v>
      </c>
      <c r="H4" s="3">
        <v>1500</v>
      </c>
      <c r="I4" s="3" t="s">
        <v>15</v>
      </c>
    </row>
    <row r="5" spans="1:11" ht="14.25" customHeight="1" x14ac:dyDescent="0.3">
      <c r="A5" s="3" t="s">
        <v>28</v>
      </c>
      <c r="B5" s="3" t="s">
        <v>29</v>
      </c>
      <c r="C5" s="3" t="s">
        <v>30</v>
      </c>
      <c r="D5" s="3" t="s">
        <v>31</v>
      </c>
      <c r="E5" s="3" t="s">
        <v>32</v>
      </c>
      <c r="F5" s="3" t="s">
        <v>14</v>
      </c>
      <c r="G5" s="3">
        <v>4</v>
      </c>
      <c r="H5" s="3">
        <v>7000</v>
      </c>
      <c r="I5" s="3" t="s">
        <v>15</v>
      </c>
    </row>
    <row r="6" spans="1:11" ht="14.25" customHeight="1" x14ac:dyDescent="0.3">
      <c r="A6" s="3" t="s">
        <v>33</v>
      </c>
      <c r="B6" s="3" t="s">
        <v>34</v>
      </c>
      <c r="C6" s="3" t="s">
        <v>35</v>
      </c>
      <c r="D6" s="3" t="s">
        <v>36</v>
      </c>
      <c r="E6" s="3" t="s">
        <v>26</v>
      </c>
      <c r="F6" s="3" t="s">
        <v>27</v>
      </c>
      <c r="G6" s="3">
        <v>5</v>
      </c>
      <c r="H6" s="3">
        <v>1500</v>
      </c>
      <c r="I6" s="3" t="s">
        <v>21</v>
      </c>
    </row>
    <row r="7" spans="1:11" ht="14.25" customHeight="1" x14ac:dyDescent="0.3">
      <c r="A7" s="3" t="s">
        <v>37</v>
      </c>
      <c r="B7" s="3" t="s">
        <v>38</v>
      </c>
      <c r="C7" s="3" t="s">
        <v>39</v>
      </c>
      <c r="D7" s="3" t="s">
        <v>31</v>
      </c>
      <c r="E7" s="3" t="s">
        <v>40</v>
      </c>
      <c r="F7" s="3" t="s">
        <v>41</v>
      </c>
      <c r="G7" s="3">
        <v>8</v>
      </c>
      <c r="H7" s="3">
        <v>12000</v>
      </c>
      <c r="I7" s="3" t="s">
        <v>42</v>
      </c>
    </row>
    <row r="8" spans="1:11" ht="14.25" customHeight="1" x14ac:dyDescent="0.3">
      <c r="A8" s="3" t="s">
        <v>43</v>
      </c>
      <c r="B8" s="3" t="s">
        <v>44</v>
      </c>
      <c r="C8" s="3" t="s">
        <v>45</v>
      </c>
      <c r="D8" s="3" t="s">
        <v>46</v>
      </c>
      <c r="E8" s="3" t="s">
        <v>47</v>
      </c>
      <c r="F8" s="3" t="s">
        <v>27</v>
      </c>
      <c r="G8" s="3">
        <v>1</v>
      </c>
      <c r="H8" s="3">
        <v>2000</v>
      </c>
      <c r="I8" s="3" t="s">
        <v>15</v>
      </c>
    </row>
    <row r="9" spans="1:11" ht="14.25" customHeight="1" x14ac:dyDescent="0.3">
      <c r="A9" s="3" t="s">
        <v>48</v>
      </c>
      <c r="B9" s="3" t="s">
        <v>49</v>
      </c>
      <c r="C9" s="3" t="s">
        <v>50</v>
      </c>
      <c r="D9" s="3" t="s">
        <v>36</v>
      </c>
      <c r="E9" s="3" t="s">
        <v>51</v>
      </c>
      <c r="F9" s="3" t="s">
        <v>52</v>
      </c>
      <c r="G9" s="3">
        <v>1</v>
      </c>
      <c r="H9" s="3">
        <v>12000</v>
      </c>
      <c r="I9" s="3" t="s">
        <v>15</v>
      </c>
    </row>
    <row r="10" spans="1:11" ht="14.25" customHeight="1" x14ac:dyDescent="0.3">
      <c r="A10" s="3" t="s">
        <v>53</v>
      </c>
      <c r="B10" s="3" t="s">
        <v>54</v>
      </c>
      <c r="C10" s="3" t="s">
        <v>55</v>
      </c>
      <c r="D10" s="3" t="s">
        <v>19</v>
      </c>
      <c r="E10" s="3" t="s">
        <v>56</v>
      </c>
      <c r="F10" s="3" t="s">
        <v>57</v>
      </c>
      <c r="G10" s="3">
        <v>5</v>
      </c>
      <c r="H10" s="3">
        <v>12000</v>
      </c>
      <c r="I10" s="3" t="s">
        <v>21</v>
      </c>
    </row>
    <row r="11" spans="1:11" ht="14.25" customHeight="1" x14ac:dyDescent="0.3">
      <c r="A11" s="3" t="s">
        <v>58</v>
      </c>
      <c r="B11" s="3" t="s">
        <v>59</v>
      </c>
      <c r="C11" s="3" t="s">
        <v>60</v>
      </c>
      <c r="D11" s="3" t="s">
        <v>12</v>
      </c>
      <c r="E11" s="3" t="s">
        <v>61</v>
      </c>
      <c r="F11" s="3" t="s">
        <v>62</v>
      </c>
      <c r="G11" s="3">
        <v>8</v>
      </c>
      <c r="H11" s="3">
        <v>12000</v>
      </c>
      <c r="I11" s="3" t="s">
        <v>21</v>
      </c>
    </row>
    <row r="12" spans="1:11" ht="14.25" customHeight="1" x14ac:dyDescent="0.3">
      <c r="A12" s="3" t="s">
        <v>63</v>
      </c>
      <c r="B12" s="3" t="s">
        <v>64</v>
      </c>
      <c r="C12" s="3" t="s">
        <v>65</v>
      </c>
      <c r="D12" s="3" t="s">
        <v>66</v>
      </c>
      <c r="E12" s="3" t="s">
        <v>26</v>
      </c>
      <c r="F12" s="3" t="s">
        <v>41</v>
      </c>
      <c r="G12" s="3">
        <v>6</v>
      </c>
      <c r="H12" s="3">
        <v>4000</v>
      </c>
      <c r="I12" s="3" t="s">
        <v>21</v>
      </c>
    </row>
    <row r="13" spans="1:11" ht="14.25" customHeight="1" x14ac:dyDescent="0.3">
      <c r="A13" s="3" t="s">
        <v>67</v>
      </c>
      <c r="B13" s="3" t="s">
        <v>68</v>
      </c>
      <c r="C13" s="3" t="s">
        <v>69</v>
      </c>
      <c r="D13" s="3" t="s">
        <v>31</v>
      </c>
      <c r="E13" s="3" t="s">
        <v>70</v>
      </c>
      <c r="F13" s="3" t="s">
        <v>71</v>
      </c>
      <c r="G13" s="3">
        <v>2</v>
      </c>
      <c r="H13" s="3">
        <v>12000</v>
      </c>
      <c r="I13" s="3" t="s">
        <v>21</v>
      </c>
    </row>
    <row r="14" spans="1:11" ht="14.25" customHeight="1" x14ac:dyDescent="0.3">
      <c r="A14" s="3" t="s">
        <v>72</v>
      </c>
      <c r="B14" s="3" t="s">
        <v>73</v>
      </c>
      <c r="C14" s="3" t="s">
        <v>74</v>
      </c>
      <c r="D14" s="3" t="s">
        <v>25</v>
      </c>
      <c r="E14" s="3" t="s">
        <v>75</v>
      </c>
      <c r="F14" s="3" t="s">
        <v>76</v>
      </c>
      <c r="G14" s="3">
        <v>2</v>
      </c>
      <c r="H14" s="3">
        <v>5500</v>
      </c>
      <c r="I14" s="3" t="s">
        <v>15</v>
      </c>
    </row>
    <row r="15" spans="1:11" ht="14.25" customHeight="1" x14ac:dyDescent="0.3">
      <c r="A15" s="3" t="s">
        <v>77</v>
      </c>
      <c r="B15" s="3" t="s">
        <v>78</v>
      </c>
      <c r="C15" s="3" t="s">
        <v>79</v>
      </c>
      <c r="D15" s="3" t="s">
        <v>12</v>
      </c>
      <c r="E15" s="3" t="s">
        <v>80</v>
      </c>
      <c r="F15" s="3" t="s">
        <v>81</v>
      </c>
      <c r="G15" s="3">
        <v>3</v>
      </c>
      <c r="H15" s="3">
        <v>2000</v>
      </c>
      <c r="I15" s="3" t="s">
        <v>15</v>
      </c>
    </row>
    <row r="16" spans="1:11" ht="14.25" customHeight="1" x14ac:dyDescent="0.3">
      <c r="A16" s="3" t="s">
        <v>82</v>
      </c>
      <c r="B16" s="3" t="s">
        <v>83</v>
      </c>
      <c r="C16" s="3" t="s">
        <v>84</v>
      </c>
      <c r="D16" s="3" t="s">
        <v>85</v>
      </c>
      <c r="E16" s="3" t="s">
        <v>56</v>
      </c>
      <c r="F16" s="3" t="s">
        <v>20</v>
      </c>
      <c r="G16" s="3">
        <v>5</v>
      </c>
      <c r="H16" s="3">
        <v>2500</v>
      </c>
      <c r="I16" s="3" t="s">
        <v>15</v>
      </c>
    </row>
    <row r="17" spans="1:9" ht="14.25" customHeight="1" x14ac:dyDescent="0.3">
      <c r="A17" s="3" t="s">
        <v>86</v>
      </c>
      <c r="B17" s="3" t="s">
        <v>87</v>
      </c>
      <c r="C17" s="3" t="s">
        <v>88</v>
      </c>
      <c r="D17" s="3" t="s">
        <v>66</v>
      </c>
      <c r="E17" s="3" t="s">
        <v>89</v>
      </c>
      <c r="F17" s="3" t="s">
        <v>76</v>
      </c>
      <c r="G17" s="3">
        <v>1</v>
      </c>
      <c r="H17" s="3">
        <v>5500</v>
      </c>
      <c r="I17" s="3" t="s">
        <v>42</v>
      </c>
    </row>
    <row r="18" spans="1:9" ht="14.25" customHeight="1" x14ac:dyDescent="0.3">
      <c r="A18" s="3" t="s">
        <v>90</v>
      </c>
      <c r="B18" s="3" t="s">
        <v>91</v>
      </c>
      <c r="C18" s="3" t="s">
        <v>92</v>
      </c>
      <c r="D18" s="3" t="s">
        <v>46</v>
      </c>
      <c r="E18" s="3" t="s">
        <v>93</v>
      </c>
      <c r="F18" s="3" t="s">
        <v>94</v>
      </c>
      <c r="G18" s="3">
        <v>2</v>
      </c>
      <c r="H18" s="3">
        <v>12000</v>
      </c>
      <c r="I18" s="3" t="s">
        <v>21</v>
      </c>
    </row>
    <row r="19" spans="1:9" ht="14.25" customHeight="1" x14ac:dyDescent="0.3">
      <c r="A19" s="3" t="s">
        <v>95</v>
      </c>
      <c r="B19" s="3" t="s">
        <v>96</v>
      </c>
      <c r="C19" s="3" t="s">
        <v>97</v>
      </c>
      <c r="D19" s="3" t="s">
        <v>25</v>
      </c>
      <c r="E19" s="3" t="s">
        <v>47</v>
      </c>
      <c r="F19" s="3" t="s">
        <v>27</v>
      </c>
      <c r="G19" s="3">
        <v>8</v>
      </c>
      <c r="H19" s="3">
        <v>15000</v>
      </c>
      <c r="I19" s="3" t="s">
        <v>42</v>
      </c>
    </row>
    <row r="20" spans="1:9" ht="14.25" customHeight="1" x14ac:dyDescent="0.3">
      <c r="A20" s="3" t="s">
        <v>98</v>
      </c>
      <c r="B20" s="3" t="s">
        <v>99</v>
      </c>
      <c r="C20" s="3" t="s">
        <v>100</v>
      </c>
      <c r="D20" s="3" t="s">
        <v>66</v>
      </c>
      <c r="E20" s="3" t="s">
        <v>32</v>
      </c>
      <c r="F20" s="3" t="s">
        <v>20</v>
      </c>
      <c r="G20" s="3">
        <v>6</v>
      </c>
      <c r="H20" s="3">
        <v>3200</v>
      </c>
      <c r="I20" s="3" t="s">
        <v>21</v>
      </c>
    </row>
    <row r="21" spans="1:9" ht="14.25" customHeight="1" x14ac:dyDescent="0.3">
      <c r="A21" s="3" t="s">
        <v>101</v>
      </c>
      <c r="B21" s="3" t="s">
        <v>102</v>
      </c>
      <c r="C21" s="3" t="s">
        <v>103</v>
      </c>
      <c r="D21" s="3" t="s">
        <v>66</v>
      </c>
      <c r="E21" s="3" t="s">
        <v>47</v>
      </c>
      <c r="F21" s="3" t="s">
        <v>104</v>
      </c>
      <c r="G21" s="3">
        <v>8</v>
      </c>
      <c r="H21" s="3">
        <v>12000</v>
      </c>
      <c r="I21" s="3" t="s">
        <v>15</v>
      </c>
    </row>
    <row r="22" spans="1:9" ht="14.25" customHeight="1" x14ac:dyDescent="0.3">
      <c r="A22" s="3" t="s">
        <v>105</v>
      </c>
      <c r="B22" s="3" t="s">
        <v>106</v>
      </c>
      <c r="C22" s="3" t="s">
        <v>107</v>
      </c>
      <c r="D22" s="3" t="s">
        <v>85</v>
      </c>
      <c r="E22" s="3" t="s">
        <v>70</v>
      </c>
      <c r="F22" s="3" t="s">
        <v>108</v>
      </c>
      <c r="G22" s="3">
        <v>5</v>
      </c>
      <c r="H22" s="3"/>
      <c r="I22" s="3" t="s">
        <v>21</v>
      </c>
    </row>
    <row r="23" spans="1:9" ht="14.25" customHeight="1" x14ac:dyDescent="0.3">
      <c r="A23" s="3" t="s">
        <v>63</v>
      </c>
      <c r="B23" s="3" t="s">
        <v>64</v>
      </c>
      <c r="C23" s="3" t="s">
        <v>65</v>
      </c>
      <c r="D23" s="3" t="s">
        <v>66</v>
      </c>
      <c r="E23" s="3" t="s">
        <v>26</v>
      </c>
      <c r="F23" s="3" t="s">
        <v>41</v>
      </c>
      <c r="G23" s="3">
        <v>6</v>
      </c>
      <c r="H23" s="3">
        <v>4000</v>
      </c>
      <c r="I23" s="3" t="s">
        <v>21</v>
      </c>
    </row>
    <row r="24" spans="1:9" ht="14.25" customHeight="1" x14ac:dyDescent="0.3">
      <c r="A24" s="3" t="s">
        <v>109</v>
      </c>
      <c r="B24" s="3" t="s">
        <v>110</v>
      </c>
      <c r="C24" s="3" t="s">
        <v>74</v>
      </c>
      <c r="D24" s="3" t="s">
        <v>36</v>
      </c>
      <c r="E24" s="3" t="s">
        <v>47</v>
      </c>
      <c r="F24" s="3" t="s">
        <v>111</v>
      </c>
      <c r="G24" s="3">
        <v>5</v>
      </c>
      <c r="H24" s="3">
        <v>4000</v>
      </c>
      <c r="I24" s="3" t="s">
        <v>15</v>
      </c>
    </row>
    <row r="25" spans="1:9" ht="14.25" customHeight="1" x14ac:dyDescent="0.3">
      <c r="A25" s="3" t="s">
        <v>112</v>
      </c>
      <c r="B25" s="3" t="s">
        <v>113</v>
      </c>
      <c r="C25" s="3" t="s">
        <v>114</v>
      </c>
      <c r="D25" s="3" t="s">
        <v>115</v>
      </c>
      <c r="E25" s="3" t="s">
        <v>32</v>
      </c>
      <c r="F25" s="3" t="s">
        <v>57</v>
      </c>
      <c r="G25" s="3">
        <v>1</v>
      </c>
      <c r="H25" s="3">
        <v>4000</v>
      </c>
      <c r="I25" s="3" t="s">
        <v>15</v>
      </c>
    </row>
    <row r="26" spans="1:9" ht="14.25" customHeight="1" x14ac:dyDescent="0.3">
      <c r="A26" s="3" t="s">
        <v>116</v>
      </c>
      <c r="B26" s="3" t="s">
        <v>117</v>
      </c>
      <c r="C26" s="3" t="s">
        <v>100</v>
      </c>
      <c r="D26" s="3" t="s">
        <v>31</v>
      </c>
      <c r="E26" s="3" t="s">
        <v>70</v>
      </c>
      <c r="F26" s="3" t="s">
        <v>108</v>
      </c>
      <c r="G26" s="3"/>
      <c r="H26" s="3">
        <v>2500</v>
      </c>
      <c r="I26" s="3" t="s">
        <v>42</v>
      </c>
    </row>
    <row r="27" spans="1:9" ht="14.25" customHeight="1" x14ac:dyDescent="0.3">
      <c r="A27" s="3" t="s">
        <v>118</v>
      </c>
      <c r="B27" s="3" t="s">
        <v>119</v>
      </c>
      <c r="C27" s="3" t="s">
        <v>120</v>
      </c>
      <c r="D27" s="3" t="s">
        <v>121</v>
      </c>
      <c r="E27" s="3" t="s">
        <v>75</v>
      </c>
      <c r="F27" s="3" t="s">
        <v>122</v>
      </c>
      <c r="G27" s="3">
        <v>3</v>
      </c>
      <c r="H27" s="3">
        <v>4000</v>
      </c>
      <c r="I27" s="3" t="s">
        <v>21</v>
      </c>
    </row>
    <row r="28" spans="1:9" ht="14.25" customHeight="1" x14ac:dyDescent="0.3">
      <c r="A28" s="3" t="s">
        <v>123</v>
      </c>
      <c r="B28" s="3" t="s">
        <v>124</v>
      </c>
      <c r="C28" s="3" t="s">
        <v>125</v>
      </c>
      <c r="D28" s="3" t="s">
        <v>31</v>
      </c>
      <c r="E28" s="3" t="s">
        <v>89</v>
      </c>
      <c r="F28" s="3" t="s">
        <v>76</v>
      </c>
      <c r="G28" s="3">
        <v>3</v>
      </c>
      <c r="H28" s="3">
        <v>2500</v>
      </c>
      <c r="I28" s="3" t="s">
        <v>21</v>
      </c>
    </row>
    <row r="29" spans="1:9" ht="14.25" customHeight="1" x14ac:dyDescent="0.3">
      <c r="A29" s="3" t="s">
        <v>126</v>
      </c>
      <c r="B29" s="3" t="s">
        <v>127</v>
      </c>
      <c r="C29" s="3" t="s">
        <v>128</v>
      </c>
      <c r="D29" s="3" t="s">
        <v>66</v>
      </c>
      <c r="E29" s="3" t="s">
        <v>56</v>
      </c>
      <c r="F29" s="3" t="s">
        <v>14</v>
      </c>
      <c r="G29" s="3">
        <v>3</v>
      </c>
      <c r="H29" s="3">
        <v>9500</v>
      </c>
      <c r="I29" s="3" t="s">
        <v>21</v>
      </c>
    </row>
    <row r="30" spans="1:9" ht="14.25" customHeight="1" x14ac:dyDescent="0.3">
      <c r="A30" s="3" t="s">
        <v>129</v>
      </c>
      <c r="B30" s="3" t="s">
        <v>130</v>
      </c>
      <c r="C30" s="3" t="s">
        <v>131</v>
      </c>
      <c r="D30" s="3" t="s">
        <v>132</v>
      </c>
      <c r="E30" s="3" t="s">
        <v>80</v>
      </c>
      <c r="F30" s="3" t="s">
        <v>133</v>
      </c>
      <c r="G30" s="3">
        <v>2</v>
      </c>
      <c r="H30" s="3">
        <v>4000</v>
      </c>
      <c r="I30" s="3" t="s">
        <v>15</v>
      </c>
    </row>
    <row r="31" spans="1:9" ht="14.25" customHeight="1" x14ac:dyDescent="0.3">
      <c r="A31" s="3" t="s">
        <v>134</v>
      </c>
      <c r="B31" s="3" t="s">
        <v>135</v>
      </c>
      <c r="C31" s="3" t="s">
        <v>136</v>
      </c>
      <c r="D31" s="3" t="s">
        <v>46</v>
      </c>
      <c r="E31" s="3" t="s">
        <v>56</v>
      </c>
      <c r="F31" s="3" t="s">
        <v>20</v>
      </c>
      <c r="G31" s="3">
        <v>4</v>
      </c>
      <c r="H31" s="3">
        <v>7000</v>
      </c>
      <c r="I31" s="3" t="s">
        <v>15</v>
      </c>
    </row>
    <row r="32" spans="1:9" ht="14.25" customHeight="1" x14ac:dyDescent="0.3">
      <c r="A32" s="3" t="s">
        <v>137</v>
      </c>
      <c r="B32" s="3" t="s">
        <v>138</v>
      </c>
      <c r="C32" s="3" t="s">
        <v>139</v>
      </c>
      <c r="D32" s="3" t="s">
        <v>66</v>
      </c>
      <c r="E32" s="3" t="s">
        <v>70</v>
      </c>
      <c r="F32" s="3" t="s">
        <v>122</v>
      </c>
      <c r="G32" s="3">
        <v>4</v>
      </c>
      <c r="H32" s="3">
        <v>5500</v>
      </c>
      <c r="I32" s="3" t="s">
        <v>15</v>
      </c>
    </row>
    <row r="33" spans="1:9" ht="14.25" customHeight="1" x14ac:dyDescent="0.3">
      <c r="A33" s="3" t="s">
        <v>140</v>
      </c>
      <c r="B33" s="3" t="s">
        <v>141</v>
      </c>
      <c r="C33" s="3" t="s">
        <v>142</v>
      </c>
      <c r="D33" s="3" t="s">
        <v>115</v>
      </c>
      <c r="E33" s="3" t="s">
        <v>80</v>
      </c>
      <c r="F33" s="3" t="s">
        <v>52</v>
      </c>
      <c r="G33" s="3">
        <v>2</v>
      </c>
      <c r="H33" s="3">
        <v>2000</v>
      </c>
      <c r="I33" s="3" t="s">
        <v>15</v>
      </c>
    </row>
    <row r="34" spans="1:9" ht="14.25" customHeight="1" x14ac:dyDescent="0.3">
      <c r="A34" s="3" t="s">
        <v>143</v>
      </c>
      <c r="B34" s="3" t="s">
        <v>144</v>
      </c>
      <c r="C34" s="3" t="s">
        <v>145</v>
      </c>
      <c r="D34" s="3" t="s">
        <v>66</v>
      </c>
      <c r="E34" s="3" t="s">
        <v>56</v>
      </c>
      <c r="F34" s="3" t="s">
        <v>146</v>
      </c>
      <c r="G34" s="3">
        <v>4</v>
      </c>
      <c r="H34" s="3">
        <v>2000</v>
      </c>
      <c r="I34" s="3" t="s">
        <v>21</v>
      </c>
    </row>
    <row r="35" spans="1:9" ht="14.25" customHeight="1" x14ac:dyDescent="0.3">
      <c r="A35" s="3" t="s">
        <v>147</v>
      </c>
      <c r="B35" s="3" t="s">
        <v>148</v>
      </c>
      <c r="C35" s="3" t="s">
        <v>149</v>
      </c>
      <c r="D35" s="3" t="s">
        <v>150</v>
      </c>
      <c r="E35" s="3" t="s">
        <v>40</v>
      </c>
      <c r="F35" s="3" t="s">
        <v>151</v>
      </c>
      <c r="G35" s="3">
        <v>8</v>
      </c>
      <c r="H35" s="3">
        <v>7000</v>
      </c>
      <c r="I35" s="3" t="s">
        <v>21</v>
      </c>
    </row>
    <row r="36" spans="1:9" ht="14.25" customHeight="1" x14ac:dyDescent="0.3">
      <c r="A36" s="3" t="s">
        <v>152</v>
      </c>
      <c r="B36" s="3" t="s">
        <v>153</v>
      </c>
      <c r="C36" s="3" t="s">
        <v>154</v>
      </c>
      <c r="D36" s="3" t="s">
        <v>19</v>
      </c>
      <c r="E36" s="3" t="s">
        <v>26</v>
      </c>
      <c r="F36" s="3" t="s">
        <v>41</v>
      </c>
      <c r="G36" s="3">
        <v>7</v>
      </c>
      <c r="H36" s="3">
        <v>5500</v>
      </c>
      <c r="I36" s="3" t="s">
        <v>15</v>
      </c>
    </row>
    <row r="37" spans="1:9" ht="14.25" customHeight="1" x14ac:dyDescent="0.3">
      <c r="A37" s="3" t="s">
        <v>155</v>
      </c>
      <c r="B37" s="3" t="s">
        <v>59</v>
      </c>
      <c r="C37" s="3" t="s">
        <v>156</v>
      </c>
      <c r="D37" s="3" t="s">
        <v>66</v>
      </c>
      <c r="E37" s="3" t="s">
        <v>75</v>
      </c>
      <c r="F37" s="3" t="s">
        <v>122</v>
      </c>
      <c r="G37" s="3">
        <v>8</v>
      </c>
      <c r="H37" s="3">
        <v>2000</v>
      </c>
      <c r="I37" s="3" t="s">
        <v>42</v>
      </c>
    </row>
    <row r="38" spans="1:9" ht="14.25" customHeight="1" x14ac:dyDescent="0.3">
      <c r="A38" s="3" t="s">
        <v>157</v>
      </c>
      <c r="B38" s="3" t="s">
        <v>158</v>
      </c>
      <c r="C38" s="3" t="s">
        <v>159</v>
      </c>
      <c r="D38" s="3" t="s">
        <v>36</v>
      </c>
      <c r="E38" s="3" t="s">
        <v>13</v>
      </c>
      <c r="F38" s="3" t="s">
        <v>146</v>
      </c>
      <c r="G38" s="3">
        <v>7</v>
      </c>
      <c r="H38" s="3">
        <v>2000</v>
      </c>
      <c r="I38" s="3" t="s">
        <v>15</v>
      </c>
    </row>
    <row r="39" spans="1:9" ht="14.25" customHeight="1" x14ac:dyDescent="0.3">
      <c r="A39" s="3" t="s">
        <v>160</v>
      </c>
      <c r="B39" s="3" t="s">
        <v>161</v>
      </c>
      <c r="C39" s="3" t="s">
        <v>162</v>
      </c>
      <c r="D39" s="3" t="s">
        <v>85</v>
      </c>
      <c r="E39" s="3" t="s">
        <v>163</v>
      </c>
      <c r="F39" s="3" t="s">
        <v>62</v>
      </c>
      <c r="G39" s="3">
        <v>4</v>
      </c>
      <c r="H39" s="3">
        <v>12000</v>
      </c>
      <c r="I39" s="3" t="s">
        <v>15</v>
      </c>
    </row>
    <row r="40" spans="1:9" ht="14.25" customHeight="1" x14ac:dyDescent="0.3">
      <c r="A40" s="3" t="s">
        <v>164</v>
      </c>
      <c r="B40" s="3" t="s">
        <v>165</v>
      </c>
      <c r="C40" s="3" t="s">
        <v>149</v>
      </c>
      <c r="D40" s="3" t="s">
        <v>25</v>
      </c>
      <c r="E40" s="3" t="s">
        <v>13</v>
      </c>
      <c r="F40" s="3" t="s">
        <v>14</v>
      </c>
      <c r="G40" s="3">
        <v>5</v>
      </c>
      <c r="H40" s="3">
        <v>7000</v>
      </c>
      <c r="I40" s="3" t="s">
        <v>42</v>
      </c>
    </row>
    <row r="41" spans="1:9" ht="14.25" customHeight="1" x14ac:dyDescent="0.3">
      <c r="A41" s="3" t="s">
        <v>166</v>
      </c>
      <c r="B41" s="3" t="s">
        <v>167</v>
      </c>
      <c r="C41" s="3" t="s">
        <v>168</v>
      </c>
      <c r="D41" s="3" t="s">
        <v>115</v>
      </c>
      <c r="E41" s="3" t="s">
        <v>93</v>
      </c>
      <c r="F41" s="3" t="s">
        <v>169</v>
      </c>
      <c r="G41" s="3">
        <v>7</v>
      </c>
      <c r="H41" s="3">
        <v>15000</v>
      </c>
      <c r="I41" s="3" t="s">
        <v>42</v>
      </c>
    </row>
    <row r="42" spans="1:9" ht="14.25" customHeight="1" x14ac:dyDescent="0.3">
      <c r="A42" s="3" t="s">
        <v>170</v>
      </c>
      <c r="B42" s="3" t="s">
        <v>171</v>
      </c>
      <c r="C42" s="3" t="s">
        <v>172</v>
      </c>
      <c r="D42" s="3" t="s">
        <v>121</v>
      </c>
      <c r="E42" s="3" t="s">
        <v>40</v>
      </c>
      <c r="F42" s="3" t="s">
        <v>151</v>
      </c>
      <c r="G42" s="3">
        <v>3</v>
      </c>
      <c r="H42" s="3">
        <v>12000</v>
      </c>
      <c r="I42" s="3" t="s">
        <v>15</v>
      </c>
    </row>
    <row r="43" spans="1:9" ht="14.25" customHeight="1" x14ac:dyDescent="0.3">
      <c r="A43" s="3" t="s">
        <v>173</v>
      </c>
      <c r="B43" s="3" t="s">
        <v>174</v>
      </c>
      <c r="C43" s="3" t="s">
        <v>175</v>
      </c>
      <c r="D43" s="3" t="s">
        <v>36</v>
      </c>
      <c r="E43" s="3" t="s">
        <v>40</v>
      </c>
      <c r="F43" s="3" t="s">
        <v>111</v>
      </c>
      <c r="G43" s="3">
        <v>5</v>
      </c>
      <c r="H43" s="3">
        <v>3200</v>
      </c>
      <c r="I43" s="3" t="s">
        <v>21</v>
      </c>
    </row>
    <row r="44" spans="1:9" ht="14.25" customHeight="1" x14ac:dyDescent="0.3">
      <c r="A44" s="3" t="s">
        <v>176</v>
      </c>
      <c r="B44" s="3" t="s">
        <v>177</v>
      </c>
      <c r="C44" s="3" t="s">
        <v>178</v>
      </c>
      <c r="D44" s="3" t="s">
        <v>31</v>
      </c>
      <c r="E44" s="3" t="s">
        <v>47</v>
      </c>
      <c r="F44" s="3" t="s">
        <v>27</v>
      </c>
      <c r="G44" s="3">
        <v>5</v>
      </c>
      <c r="H44" s="3">
        <v>2500</v>
      </c>
      <c r="I44" s="3" t="s">
        <v>42</v>
      </c>
    </row>
    <row r="45" spans="1:9" ht="14.25" customHeight="1" x14ac:dyDescent="0.3">
      <c r="A45" s="3" t="s">
        <v>179</v>
      </c>
      <c r="B45" s="3" t="s">
        <v>180</v>
      </c>
      <c r="C45" s="3" t="s">
        <v>103</v>
      </c>
      <c r="D45" s="3" t="s">
        <v>150</v>
      </c>
      <c r="E45" s="3" t="s">
        <v>181</v>
      </c>
      <c r="F45" s="3" t="s">
        <v>182</v>
      </c>
      <c r="G45" s="3">
        <v>6</v>
      </c>
      <c r="H45" s="3">
        <v>2500</v>
      </c>
      <c r="I45" s="3" t="s">
        <v>21</v>
      </c>
    </row>
    <row r="46" spans="1:9" ht="14.25" customHeight="1" x14ac:dyDescent="0.3">
      <c r="A46" s="3" t="s">
        <v>183</v>
      </c>
      <c r="B46" s="3" t="s">
        <v>184</v>
      </c>
      <c r="C46" s="3" t="s">
        <v>185</v>
      </c>
      <c r="D46" s="3" t="s">
        <v>66</v>
      </c>
      <c r="E46" s="3" t="s">
        <v>26</v>
      </c>
      <c r="F46" s="3" t="s">
        <v>41</v>
      </c>
      <c r="G46" s="3">
        <v>1</v>
      </c>
      <c r="H46" s="3">
        <v>7000</v>
      </c>
      <c r="I46" s="3" t="s">
        <v>21</v>
      </c>
    </row>
    <row r="47" spans="1:9" ht="14.25" customHeight="1" x14ac:dyDescent="0.3">
      <c r="A47" s="3" t="s">
        <v>186</v>
      </c>
      <c r="B47" s="3" t="s">
        <v>187</v>
      </c>
      <c r="C47" s="3" t="s">
        <v>188</v>
      </c>
      <c r="D47" s="3" t="s">
        <v>19</v>
      </c>
      <c r="E47" s="3" t="s">
        <v>80</v>
      </c>
      <c r="F47" s="3" t="s">
        <v>182</v>
      </c>
      <c r="G47" s="3">
        <v>3</v>
      </c>
      <c r="H47" s="3">
        <v>9500</v>
      </c>
      <c r="I47" s="3" t="s">
        <v>21</v>
      </c>
    </row>
    <row r="48" spans="1:9" ht="14.25" customHeight="1" x14ac:dyDescent="0.3">
      <c r="A48" s="3" t="s">
        <v>189</v>
      </c>
      <c r="B48" s="3" t="s">
        <v>190</v>
      </c>
      <c r="C48" s="3" t="s">
        <v>191</v>
      </c>
      <c r="D48" s="3" t="s">
        <v>12</v>
      </c>
      <c r="E48" s="3" t="s">
        <v>89</v>
      </c>
      <c r="F48" s="3" t="s">
        <v>71</v>
      </c>
      <c r="G48" s="3">
        <v>1</v>
      </c>
      <c r="H48" s="3">
        <v>7000</v>
      </c>
      <c r="I48" s="3" t="s">
        <v>21</v>
      </c>
    </row>
    <row r="49" spans="1:9" ht="14.25" customHeight="1" x14ac:dyDescent="0.3">
      <c r="A49" s="3" t="s">
        <v>192</v>
      </c>
      <c r="B49" s="3" t="s">
        <v>193</v>
      </c>
      <c r="C49" s="3" t="s">
        <v>194</v>
      </c>
      <c r="D49" s="3" t="s">
        <v>46</v>
      </c>
      <c r="E49" s="3" t="s">
        <v>26</v>
      </c>
      <c r="F49" s="3" t="s">
        <v>104</v>
      </c>
      <c r="G49" s="3">
        <v>1</v>
      </c>
      <c r="H49" s="3">
        <v>4000</v>
      </c>
      <c r="I49" s="3" t="s">
        <v>42</v>
      </c>
    </row>
    <row r="50" spans="1:9" ht="14.25" customHeight="1" x14ac:dyDescent="0.3">
      <c r="A50" s="3" t="s">
        <v>195</v>
      </c>
      <c r="B50" s="3" t="s">
        <v>196</v>
      </c>
      <c r="C50" s="3" t="s">
        <v>197</v>
      </c>
      <c r="D50" s="3" t="s">
        <v>36</v>
      </c>
      <c r="E50" s="3" t="s">
        <v>181</v>
      </c>
      <c r="F50" s="3" t="s">
        <v>182</v>
      </c>
      <c r="G50" s="3">
        <v>7</v>
      </c>
      <c r="H50" s="3">
        <v>5500</v>
      </c>
      <c r="I50" s="3" t="s">
        <v>15</v>
      </c>
    </row>
    <row r="51" spans="1:9" ht="14.25" customHeight="1" x14ac:dyDescent="0.3">
      <c r="A51" s="3" t="s">
        <v>198</v>
      </c>
      <c r="B51" s="3" t="s">
        <v>199</v>
      </c>
      <c r="C51" s="3" t="s">
        <v>200</v>
      </c>
      <c r="D51" s="3" t="s">
        <v>150</v>
      </c>
      <c r="E51" s="3" t="s">
        <v>181</v>
      </c>
      <c r="F51" s="3" t="s">
        <v>52</v>
      </c>
      <c r="G51" s="3">
        <v>4</v>
      </c>
      <c r="H51" s="3">
        <v>9500</v>
      </c>
      <c r="I51" s="3" t="s">
        <v>42</v>
      </c>
    </row>
    <row r="52" spans="1:9" ht="14.25" customHeight="1" x14ac:dyDescent="0.3">
      <c r="A52" s="3" t="s">
        <v>201</v>
      </c>
      <c r="B52" s="3" t="s">
        <v>202</v>
      </c>
      <c r="C52" s="3" t="s">
        <v>203</v>
      </c>
      <c r="D52" s="3" t="s">
        <v>132</v>
      </c>
      <c r="E52" s="3" t="s">
        <v>181</v>
      </c>
      <c r="F52" s="3" t="s">
        <v>81</v>
      </c>
      <c r="G52" s="3">
        <v>2</v>
      </c>
      <c r="H52" s="3">
        <v>3200</v>
      </c>
      <c r="I52" s="3" t="s">
        <v>15</v>
      </c>
    </row>
    <row r="53" spans="1:9" ht="14.25" customHeight="1" x14ac:dyDescent="0.3">
      <c r="A53" s="3" t="s">
        <v>204</v>
      </c>
      <c r="B53" s="3" t="s">
        <v>205</v>
      </c>
      <c r="C53" s="3" t="s">
        <v>206</v>
      </c>
      <c r="D53" s="3" t="s">
        <v>150</v>
      </c>
      <c r="E53" s="3" t="s">
        <v>13</v>
      </c>
      <c r="F53" s="3" t="s">
        <v>146</v>
      </c>
      <c r="G53" s="3">
        <v>1</v>
      </c>
      <c r="H53" s="3">
        <v>4000</v>
      </c>
      <c r="I53" s="3" t="s">
        <v>15</v>
      </c>
    </row>
    <row r="54" spans="1:9" ht="14.25" customHeight="1" x14ac:dyDescent="0.3">
      <c r="A54" s="3" t="s">
        <v>207</v>
      </c>
      <c r="B54" s="3" t="s">
        <v>208</v>
      </c>
      <c r="C54" s="3" t="s">
        <v>209</v>
      </c>
      <c r="D54" s="3" t="s">
        <v>210</v>
      </c>
      <c r="E54" s="3" t="s">
        <v>93</v>
      </c>
      <c r="F54" s="3" t="s">
        <v>211</v>
      </c>
      <c r="G54" s="3">
        <v>2</v>
      </c>
      <c r="H54" s="3">
        <v>12000</v>
      </c>
      <c r="I54" s="3" t="s">
        <v>21</v>
      </c>
    </row>
    <row r="55" spans="1:9" ht="14.25" customHeight="1" x14ac:dyDescent="0.3">
      <c r="A55" s="3" t="s">
        <v>212</v>
      </c>
      <c r="B55" s="3" t="s">
        <v>213</v>
      </c>
      <c r="C55" s="3" t="s">
        <v>214</v>
      </c>
      <c r="D55" s="3" t="s">
        <v>132</v>
      </c>
      <c r="E55" s="3" t="s">
        <v>70</v>
      </c>
      <c r="F55" s="3" t="s">
        <v>215</v>
      </c>
      <c r="G55" s="3">
        <v>5</v>
      </c>
      <c r="H55" s="3">
        <v>12000</v>
      </c>
      <c r="I55" s="3" t="s">
        <v>15</v>
      </c>
    </row>
    <row r="56" spans="1:9" ht="14.25" customHeight="1" x14ac:dyDescent="0.3">
      <c r="A56" s="3" t="s">
        <v>216</v>
      </c>
      <c r="B56" s="3" t="s">
        <v>217</v>
      </c>
      <c r="C56" s="3" t="s">
        <v>218</v>
      </c>
      <c r="D56" s="3" t="s">
        <v>31</v>
      </c>
      <c r="E56" s="3" t="s">
        <v>32</v>
      </c>
      <c r="F56" s="3" t="s">
        <v>20</v>
      </c>
      <c r="G56" s="3">
        <v>5</v>
      </c>
      <c r="H56" s="3">
        <v>2000</v>
      </c>
      <c r="I56" s="3" t="s">
        <v>42</v>
      </c>
    </row>
    <row r="57" spans="1:9" ht="14.25" customHeight="1" x14ac:dyDescent="0.3">
      <c r="A57" s="3" t="s">
        <v>105</v>
      </c>
      <c r="B57" s="3" t="s">
        <v>106</v>
      </c>
      <c r="C57" s="3" t="s">
        <v>107</v>
      </c>
      <c r="D57" s="3" t="s">
        <v>85</v>
      </c>
      <c r="E57" s="3" t="s">
        <v>70</v>
      </c>
      <c r="F57" s="3" t="s">
        <v>108</v>
      </c>
      <c r="G57" s="3">
        <v>5</v>
      </c>
      <c r="H57" s="3"/>
      <c r="I57" s="3" t="s">
        <v>21</v>
      </c>
    </row>
    <row r="58" spans="1:9" ht="14.25" customHeight="1" x14ac:dyDescent="0.3">
      <c r="A58" s="3" t="s">
        <v>219</v>
      </c>
      <c r="B58" s="3" t="s">
        <v>220</v>
      </c>
      <c r="C58" s="3" t="s">
        <v>221</v>
      </c>
      <c r="D58" s="3" t="s">
        <v>31</v>
      </c>
      <c r="E58" s="3" t="s">
        <v>61</v>
      </c>
      <c r="F58" s="3" t="s">
        <v>169</v>
      </c>
      <c r="G58" s="3">
        <v>6</v>
      </c>
      <c r="H58" s="3">
        <v>2500</v>
      </c>
      <c r="I58" s="3" t="s">
        <v>42</v>
      </c>
    </row>
    <row r="59" spans="1:9" ht="14.25" customHeight="1" x14ac:dyDescent="0.3">
      <c r="A59" s="3" t="s">
        <v>212</v>
      </c>
      <c r="B59" s="3" t="s">
        <v>213</v>
      </c>
      <c r="C59" s="3" t="s">
        <v>214</v>
      </c>
      <c r="D59" s="3" t="s">
        <v>132</v>
      </c>
      <c r="E59" s="3" t="s">
        <v>70</v>
      </c>
      <c r="F59" s="3" t="s">
        <v>215</v>
      </c>
      <c r="G59" s="3">
        <v>5</v>
      </c>
      <c r="H59" s="3">
        <v>12000</v>
      </c>
      <c r="I59" s="3" t="s">
        <v>15</v>
      </c>
    </row>
    <row r="60" spans="1:9" ht="14.25" customHeight="1" x14ac:dyDescent="0.3">
      <c r="A60" s="3" t="s">
        <v>222</v>
      </c>
      <c r="B60" s="3" t="s">
        <v>223</v>
      </c>
      <c r="C60" s="3" t="s">
        <v>218</v>
      </c>
      <c r="D60" s="3" t="s">
        <v>121</v>
      </c>
      <c r="E60" s="3" t="s">
        <v>32</v>
      </c>
      <c r="F60" s="3" t="s">
        <v>224</v>
      </c>
      <c r="G60" s="3">
        <v>2</v>
      </c>
      <c r="H60" s="3">
        <v>5500</v>
      </c>
      <c r="I60" s="3" t="s">
        <v>42</v>
      </c>
    </row>
    <row r="61" spans="1:9" ht="14.25" customHeight="1" x14ac:dyDescent="0.3">
      <c r="A61" s="3" t="s">
        <v>225</v>
      </c>
      <c r="B61" s="3" t="s">
        <v>226</v>
      </c>
      <c r="C61" s="3" t="s">
        <v>227</v>
      </c>
      <c r="D61" s="3" t="s">
        <v>66</v>
      </c>
      <c r="E61" s="3" t="s">
        <v>40</v>
      </c>
      <c r="F61" s="3" t="s">
        <v>151</v>
      </c>
      <c r="G61" s="3">
        <v>2</v>
      </c>
      <c r="H61" s="3">
        <v>5500</v>
      </c>
      <c r="I61" s="3" t="s">
        <v>15</v>
      </c>
    </row>
    <row r="62" spans="1:9" ht="14.25" customHeight="1" x14ac:dyDescent="0.3">
      <c r="A62" s="3" t="s">
        <v>228</v>
      </c>
      <c r="B62" s="3" t="s">
        <v>229</v>
      </c>
      <c r="C62" s="3" t="s">
        <v>230</v>
      </c>
      <c r="D62" s="3" t="s">
        <v>36</v>
      </c>
      <c r="E62" s="3" t="s">
        <v>47</v>
      </c>
      <c r="F62" s="3" t="s">
        <v>111</v>
      </c>
      <c r="G62" s="3">
        <v>5</v>
      </c>
      <c r="H62" s="3">
        <v>7000</v>
      </c>
      <c r="I62" s="3" t="s">
        <v>21</v>
      </c>
    </row>
    <row r="63" spans="1:9" ht="14.25" customHeight="1" x14ac:dyDescent="0.3">
      <c r="A63" s="3" t="s">
        <v>231</v>
      </c>
      <c r="B63" s="3" t="s">
        <v>232</v>
      </c>
      <c r="C63" s="3" t="s">
        <v>233</v>
      </c>
      <c r="D63" s="3" t="s">
        <v>36</v>
      </c>
      <c r="E63" s="3" t="s">
        <v>32</v>
      </c>
      <c r="F63" s="3" t="s">
        <v>146</v>
      </c>
      <c r="G63" s="3"/>
      <c r="H63" s="3">
        <v>7000</v>
      </c>
      <c r="I63" s="3" t="s">
        <v>15</v>
      </c>
    </row>
    <row r="64" spans="1:9" ht="14.25" customHeight="1" x14ac:dyDescent="0.3">
      <c r="A64" s="3" t="s">
        <v>234</v>
      </c>
      <c r="B64" s="3" t="s">
        <v>235</v>
      </c>
      <c r="C64" s="3" t="s">
        <v>203</v>
      </c>
      <c r="D64" s="3" t="s">
        <v>115</v>
      </c>
      <c r="E64" s="3" t="s">
        <v>70</v>
      </c>
      <c r="F64" s="3" t="s">
        <v>122</v>
      </c>
      <c r="G64" s="3">
        <v>4</v>
      </c>
      <c r="H64" s="3">
        <v>2500</v>
      </c>
      <c r="I64" s="3" t="s">
        <v>15</v>
      </c>
    </row>
    <row r="65" spans="1:9" ht="14.25" customHeight="1" x14ac:dyDescent="0.3">
      <c r="A65" s="3" t="s">
        <v>236</v>
      </c>
      <c r="B65" s="3" t="s">
        <v>237</v>
      </c>
      <c r="C65" s="3" t="s">
        <v>131</v>
      </c>
      <c r="D65" s="3" t="s">
        <v>25</v>
      </c>
      <c r="E65" s="3" t="s">
        <v>32</v>
      </c>
      <c r="F65" s="3" t="s">
        <v>57</v>
      </c>
      <c r="G65" s="3">
        <v>1</v>
      </c>
      <c r="H65" s="3">
        <v>7000</v>
      </c>
      <c r="I65" s="3" t="s">
        <v>42</v>
      </c>
    </row>
    <row r="66" spans="1:9" ht="14.25" customHeight="1" x14ac:dyDescent="0.3">
      <c r="A66" s="3" t="s">
        <v>238</v>
      </c>
      <c r="B66" s="3" t="s">
        <v>239</v>
      </c>
      <c r="C66" s="3" t="s">
        <v>240</v>
      </c>
      <c r="D66" s="3" t="s">
        <v>36</v>
      </c>
      <c r="E66" s="3" t="s">
        <v>163</v>
      </c>
      <c r="F66" s="3" t="s">
        <v>62</v>
      </c>
      <c r="G66" s="3">
        <v>7</v>
      </c>
      <c r="H66" s="3">
        <v>1500</v>
      </c>
      <c r="I66" s="3" t="s">
        <v>15</v>
      </c>
    </row>
    <row r="67" spans="1:9" ht="14.25" customHeight="1" x14ac:dyDescent="0.3">
      <c r="A67" s="3" t="s">
        <v>241</v>
      </c>
      <c r="B67" s="3" t="s">
        <v>242</v>
      </c>
      <c r="C67" s="3" t="s">
        <v>243</v>
      </c>
      <c r="D67" s="3" t="s">
        <v>19</v>
      </c>
      <c r="E67" s="3" t="s">
        <v>89</v>
      </c>
      <c r="F67" s="3" t="s">
        <v>122</v>
      </c>
      <c r="G67" s="3"/>
      <c r="H67" s="3">
        <v>3200</v>
      </c>
      <c r="I67" s="3" t="s">
        <v>15</v>
      </c>
    </row>
    <row r="68" spans="1:9" ht="14.25" customHeight="1" x14ac:dyDescent="0.3">
      <c r="A68" s="3" t="s">
        <v>244</v>
      </c>
      <c r="B68" s="3" t="s">
        <v>245</v>
      </c>
      <c r="C68" s="3" t="s">
        <v>246</v>
      </c>
      <c r="D68" s="3" t="s">
        <v>132</v>
      </c>
      <c r="E68" s="3" t="s">
        <v>163</v>
      </c>
      <c r="F68" s="3" t="s">
        <v>211</v>
      </c>
      <c r="G68" s="3">
        <v>1</v>
      </c>
      <c r="H68" s="3">
        <v>3200</v>
      </c>
      <c r="I68" s="3" t="s">
        <v>15</v>
      </c>
    </row>
    <row r="69" spans="1:9" ht="14.25" customHeight="1" x14ac:dyDescent="0.3">
      <c r="A69" s="3" t="s">
        <v>247</v>
      </c>
      <c r="B69" s="3" t="s">
        <v>248</v>
      </c>
      <c r="C69" s="3" t="s">
        <v>249</v>
      </c>
      <c r="D69" s="3" t="s">
        <v>12</v>
      </c>
      <c r="E69" s="3" t="s">
        <v>93</v>
      </c>
      <c r="F69" s="3" t="s">
        <v>62</v>
      </c>
      <c r="G69" s="3">
        <v>5</v>
      </c>
      <c r="H69" s="3">
        <v>7000</v>
      </c>
      <c r="I69" s="3" t="s">
        <v>15</v>
      </c>
    </row>
    <row r="70" spans="1:9" ht="14.25" customHeight="1" x14ac:dyDescent="0.3">
      <c r="A70" s="3" t="s">
        <v>250</v>
      </c>
      <c r="B70" s="3" t="s">
        <v>251</v>
      </c>
      <c r="C70" s="3" t="s">
        <v>128</v>
      </c>
      <c r="D70" s="3" t="s">
        <v>115</v>
      </c>
      <c r="E70" s="3" t="s">
        <v>40</v>
      </c>
      <c r="F70" s="3" t="s">
        <v>104</v>
      </c>
      <c r="G70" s="3">
        <v>8</v>
      </c>
      <c r="H70" s="3">
        <v>2500</v>
      </c>
      <c r="I70" s="3" t="s">
        <v>15</v>
      </c>
    </row>
    <row r="71" spans="1:9" ht="14.25" customHeight="1" x14ac:dyDescent="0.3">
      <c r="A71" s="3" t="s">
        <v>252</v>
      </c>
      <c r="B71" s="3" t="s">
        <v>110</v>
      </c>
      <c r="C71" s="3" t="s">
        <v>24</v>
      </c>
      <c r="D71" s="3" t="s">
        <v>85</v>
      </c>
      <c r="E71" s="3" t="s">
        <v>13</v>
      </c>
      <c r="F71" s="3" t="s">
        <v>224</v>
      </c>
      <c r="G71" s="3">
        <v>4</v>
      </c>
      <c r="H71" s="3">
        <v>9500</v>
      </c>
      <c r="I71" s="3" t="s">
        <v>15</v>
      </c>
    </row>
    <row r="72" spans="1:9" ht="14.25" customHeight="1" x14ac:dyDescent="0.3">
      <c r="A72" s="3" t="s">
        <v>253</v>
      </c>
      <c r="B72" s="3" t="s">
        <v>254</v>
      </c>
      <c r="C72" s="3" t="s">
        <v>255</v>
      </c>
      <c r="D72" s="3" t="s">
        <v>210</v>
      </c>
      <c r="E72" s="3" t="s">
        <v>181</v>
      </c>
      <c r="F72" s="3" t="s">
        <v>52</v>
      </c>
      <c r="G72" s="3">
        <v>6</v>
      </c>
      <c r="H72" s="3">
        <v>4000</v>
      </c>
      <c r="I72" s="3" t="s">
        <v>21</v>
      </c>
    </row>
    <row r="73" spans="1:9" ht="14.25" customHeight="1" x14ac:dyDescent="0.3">
      <c r="A73" s="3" t="s">
        <v>256</v>
      </c>
      <c r="B73" s="3" t="s">
        <v>257</v>
      </c>
      <c r="C73" s="3" t="s">
        <v>258</v>
      </c>
      <c r="D73" s="3" t="s">
        <v>31</v>
      </c>
      <c r="E73" s="3" t="s">
        <v>32</v>
      </c>
      <c r="F73" s="3" t="s">
        <v>57</v>
      </c>
      <c r="G73" s="3">
        <v>6</v>
      </c>
      <c r="H73" s="3">
        <v>3200</v>
      </c>
      <c r="I73" s="3" t="s">
        <v>42</v>
      </c>
    </row>
    <row r="74" spans="1:9" ht="14.25" customHeight="1" x14ac:dyDescent="0.3">
      <c r="A74" s="3" t="s">
        <v>259</v>
      </c>
      <c r="B74" s="3" t="s">
        <v>260</v>
      </c>
      <c r="C74" s="3" t="s">
        <v>261</v>
      </c>
      <c r="D74" s="3" t="s">
        <v>150</v>
      </c>
      <c r="E74" s="3" t="s">
        <v>13</v>
      </c>
      <c r="F74" s="3" t="s">
        <v>20</v>
      </c>
      <c r="G74" s="3">
        <v>7</v>
      </c>
      <c r="H74" s="3">
        <v>15000</v>
      </c>
      <c r="I74" s="3" t="s">
        <v>42</v>
      </c>
    </row>
    <row r="75" spans="1:9" ht="14.25" customHeight="1" x14ac:dyDescent="0.3">
      <c r="A75" s="3" t="s">
        <v>262</v>
      </c>
      <c r="B75" s="3" t="s">
        <v>263</v>
      </c>
      <c r="C75" s="3" t="s">
        <v>194</v>
      </c>
      <c r="D75" s="3" t="s">
        <v>46</v>
      </c>
      <c r="E75" s="3" t="s">
        <v>163</v>
      </c>
      <c r="F75" s="3" t="s">
        <v>94</v>
      </c>
      <c r="G75" s="3">
        <v>2</v>
      </c>
      <c r="H75" s="3">
        <v>15000</v>
      </c>
      <c r="I75" s="3" t="s">
        <v>42</v>
      </c>
    </row>
    <row r="76" spans="1:9" ht="14.25" customHeight="1" x14ac:dyDescent="0.3">
      <c r="A76" s="3" t="s">
        <v>264</v>
      </c>
      <c r="B76" s="3" t="s">
        <v>265</v>
      </c>
      <c r="C76" s="3" t="s">
        <v>266</v>
      </c>
      <c r="D76" s="3" t="s">
        <v>210</v>
      </c>
      <c r="E76" s="3" t="s">
        <v>40</v>
      </c>
      <c r="F76" s="3" t="s">
        <v>151</v>
      </c>
      <c r="G76" s="3">
        <v>5</v>
      </c>
      <c r="H76" s="3">
        <v>4000</v>
      </c>
      <c r="I76" s="3" t="s">
        <v>15</v>
      </c>
    </row>
    <row r="77" spans="1:9" ht="14.25" customHeight="1" x14ac:dyDescent="0.3">
      <c r="A77" s="3" t="s">
        <v>267</v>
      </c>
      <c r="B77" s="3" t="s">
        <v>268</v>
      </c>
      <c r="C77" s="3" t="s">
        <v>269</v>
      </c>
      <c r="D77" s="3" t="s">
        <v>121</v>
      </c>
      <c r="E77" s="3" t="s">
        <v>75</v>
      </c>
      <c r="F77" s="3" t="s">
        <v>71</v>
      </c>
      <c r="G77" s="3">
        <v>5</v>
      </c>
      <c r="H77" s="3">
        <v>4000</v>
      </c>
      <c r="I77" s="3" t="s">
        <v>42</v>
      </c>
    </row>
    <row r="78" spans="1:9" ht="14.25" customHeight="1" x14ac:dyDescent="0.3">
      <c r="A78" s="3" t="s">
        <v>270</v>
      </c>
      <c r="B78" s="3" t="s">
        <v>268</v>
      </c>
      <c r="C78" s="3" t="s">
        <v>271</v>
      </c>
      <c r="D78" s="3" t="s">
        <v>132</v>
      </c>
      <c r="E78" s="3" t="s">
        <v>51</v>
      </c>
      <c r="F78" s="3" t="s">
        <v>272</v>
      </c>
      <c r="G78" s="3">
        <v>4</v>
      </c>
      <c r="H78" s="3">
        <v>2500</v>
      </c>
      <c r="I78" s="3" t="s">
        <v>15</v>
      </c>
    </row>
    <row r="79" spans="1:9" ht="14.25" customHeight="1" x14ac:dyDescent="0.3">
      <c r="A79" s="3" t="s">
        <v>273</v>
      </c>
      <c r="B79" s="3" t="s">
        <v>274</v>
      </c>
      <c r="C79" s="3" t="s">
        <v>275</v>
      </c>
      <c r="D79" s="3" t="s">
        <v>31</v>
      </c>
      <c r="E79" s="3" t="s">
        <v>89</v>
      </c>
      <c r="F79" s="3" t="s">
        <v>108</v>
      </c>
      <c r="G79" s="3">
        <v>8</v>
      </c>
      <c r="H79" s="3">
        <v>1500</v>
      </c>
      <c r="I79" s="3" t="s">
        <v>42</v>
      </c>
    </row>
    <row r="80" spans="1:9" ht="14.25" customHeight="1" x14ac:dyDescent="0.3">
      <c r="A80" s="3" t="s">
        <v>276</v>
      </c>
      <c r="B80" s="3" t="s">
        <v>277</v>
      </c>
      <c r="C80" s="3" t="s">
        <v>278</v>
      </c>
      <c r="D80" s="3" t="s">
        <v>66</v>
      </c>
      <c r="E80" s="3" t="s">
        <v>26</v>
      </c>
      <c r="F80" s="3" t="s">
        <v>27</v>
      </c>
      <c r="G80" s="3">
        <v>1</v>
      </c>
      <c r="H80" s="3">
        <v>5500</v>
      </c>
      <c r="I80" s="3" t="s">
        <v>42</v>
      </c>
    </row>
    <row r="81" spans="1:9" ht="14.25" customHeight="1" x14ac:dyDescent="0.3">
      <c r="A81" s="3" t="s">
        <v>279</v>
      </c>
      <c r="B81" s="3" t="s">
        <v>87</v>
      </c>
      <c r="C81" s="3" t="s">
        <v>280</v>
      </c>
      <c r="D81" s="3" t="s">
        <v>115</v>
      </c>
      <c r="E81" s="3" t="s">
        <v>89</v>
      </c>
      <c r="F81" s="3" t="s">
        <v>108</v>
      </c>
      <c r="G81" s="3">
        <v>1</v>
      </c>
      <c r="H81" s="3">
        <v>5500</v>
      </c>
      <c r="I81" s="3" t="s">
        <v>21</v>
      </c>
    </row>
    <row r="82" spans="1:9" ht="14.25" customHeight="1" x14ac:dyDescent="0.3">
      <c r="A82" s="3" t="s">
        <v>281</v>
      </c>
      <c r="B82" s="3" t="s">
        <v>282</v>
      </c>
      <c r="C82" s="3" t="s">
        <v>283</v>
      </c>
      <c r="D82" s="3" t="s">
        <v>25</v>
      </c>
      <c r="E82" s="3" t="s">
        <v>32</v>
      </c>
      <c r="F82" s="3" t="s">
        <v>20</v>
      </c>
      <c r="G82" s="3">
        <v>6</v>
      </c>
      <c r="H82" s="3">
        <v>2000</v>
      </c>
      <c r="I82" s="3" t="s">
        <v>15</v>
      </c>
    </row>
    <row r="83" spans="1:9" ht="14.25" customHeight="1" x14ac:dyDescent="0.3">
      <c r="A83" s="3" t="s">
        <v>284</v>
      </c>
      <c r="B83" s="3" t="s">
        <v>285</v>
      </c>
      <c r="C83" s="3" t="s">
        <v>286</v>
      </c>
      <c r="D83" s="3" t="s">
        <v>46</v>
      </c>
      <c r="E83" s="3" t="s">
        <v>181</v>
      </c>
      <c r="F83" s="3" t="s">
        <v>272</v>
      </c>
      <c r="G83" s="3">
        <v>7</v>
      </c>
      <c r="H83" s="3">
        <v>12000</v>
      </c>
      <c r="I83" s="3" t="s">
        <v>21</v>
      </c>
    </row>
    <row r="84" spans="1:9" ht="14.25" customHeight="1" x14ac:dyDescent="0.3">
      <c r="A84" s="3" t="s">
        <v>287</v>
      </c>
      <c r="B84" s="3" t="s">
        <v>288</v>
      </c>
      <c r="C84" s="3" t="s">
        <v>289</v>
      </c>
      <c r="D84" s="3" t="s">
        <v>19</v>
      </c>
      <c r="E84" s="3" t="s">
        <v>80</v>
      </c>
      <c r="F84" s="3" t="s">
        <v>272</v>
      </c>
      <c r="G84" s="3">
        <v>6</v>
      </c>
      <c r="H84" s="3">
        <v>3200</v>
      </c>
      <c r="I84" s="3" t="s">
        <v>42</v>
      </c>
    </row>
    <row r="85" spans="1:9" ht="14.25" customHeight="1" x14ac:dyDescent="0.3">
      <c r="A85" s="3" t="s">
        <v>290</v>
      </c>
      <c r="B85" s="3" t="s">
        <v>291</v>
      </c>
      <c r="C85" s="3" t="s">
        <v>292</v>
      </c>
      <c r="D85" s="3" t="s">
        <v>121</v>
      </c>
      <c r="E85" s="3" t="s">
        <v>61</v>
      </c>
      <c r="F85" s="3" t="s">
        <v>211</v>
      </c>
      <c r="G85" s="3">
        <v>8</v>
      </c>
      <c r="H85" s="3">
        <v>2500</v>
      </c>
      <c r="I85" s="3" t="s">
        <v>15</v>
      </c>
    </row>
    <row r="86" spans="1:9" ht="14.25" customHeight="1" x14ac:dyDescent="0.3">
      <c r="A86" s="3" t="s">
        <v>293</v>
      </c>
      <c r="B86" s="3" t="s">
        <v>229</v>
      </c>
      <c r="C86" s="3" t="s">
        <v>294</v>
      </c>
      <c r="D86" s="3" t="s">
        <v>66</v>
      </c>
      <c r="E86" s="3" t="s">
        <v>80</v>
      </c>
      <c r="F86" s="3" t="s">
        <v>133</v>
      </c>
      <c r="G86" s="3">
        <v>7</v>
      </c>
      <c r="H86" s="3">
        <v>9500</v>
      </c>
      <c r="I86" s="3" t="s">
        <v>42</v>
      </c>
    </row>
    <row r="87" spans="1:9" ht="14.25" customHeight="1" x14ac:dyDescent="0.3">
      <c r="A87" s="3" t="s">
        <v>295</v>
      </c>
      <c r="B87" s="3" t="s">
        <v>296</v>
      </c>
      <c r="C87" s="3" t="s">
        <v>79</v>
      </c>
      <c r="D87" s="3" t="s">
        <v>121</v>
      </c>
      <c r="E87" s="3" t="s">
        <v>47</v>
      </c>
      <c r="F87" s="3" t="s">
        <v>151</v>
      </c>
      <c r="G87" s="3">
        <v>5</v>
      </c>
      <c r="H87" s="3">
        <v>4000</v>
      </c>
      <c r="I87" s="3" t="s">
        <v>15</v>
      </c>
    </row>
    <row r="88" spans="1:9" ht="14.25" customHeight="1" x14ac:dyDescent="0.3">
      <c r="A88" s="3" t="s">
        <v>297</v>
      </c>
      <c r="B88" s="3" t="s">
        <v>254</v>
      </c>
      <c r="C88" s="3" t="s">
        <v>298</v>
      </c>
      <c r="D88" s="3" t="s">
        <v>66</v>
      </c>
      <c r="E88" s="3" t="s">
        <v>75</v>
      </c>
      <c r="F88" s="3" t="s">
        <v>215</v>
      </c>
      <c r="G88" s="3">
        <v>1</v>
      </c>
      <c r="H88" s="3">
        <v>2000</v>
      </c>
      <c r="I88" s="3" t="s">
        <v>21</v>
      </c>
    </row>
    <row r="89" spans="1:9" ht="14.25" customHeight="1" x14ac:dyDescent="0.3">
      <c r="A89" s="3" t="s">
        <v>299</v>
      </c>
      <c r="B89" s="3" t="s">
        <v>300</v>
      </c>
      <c r="C89" s="3" t="s">
        <v>301</v>
      </c>
      <c r="D89" s="3" t="s">
        <v>66</v>
      </c>
      <c r="E89" s="3" t="s">
        <v>13</v>
      </c>
      <c r="F89" s="3" t="s">
        <v>224</v>
      </c>
      <c r="G89" s="3">
        <v>2</v>
      </c>
      <c r="H89" s="3">
        <v>3200</v>
      </c>
      <c r="I89" s="3" t="s">
        <v>21</v>
      </c>
    </row>
    <row r="90" spans="1:9" ht="14.25" customHeight="1" x14ac:dyDescent="0.3">
      <c r="A90" s="3" t="s">
        <v>302</v>
      </c>
      <c r="B90" s="3" t="s">
        <v>303</v>
      </c>
      <c r="C90" s="3" t="s">
        <v>304</v>
      </c>
      <c r="D90" s="3" t="s">
        <v>150</v>
      </c>
      <c r="E90" s="3" t="s">
        <v>163</v>
      </c>
      <c r="F90" s="3" t="s">
        <v>211</v>
      </c>
      <c r="G90" s="3">
        <v>4</v>
      </c>
      <c r="H90" s="3">
        <v>5500</v>
      </c>
      <c r="I90" s="3" t="s">
        <v>42</v>
      </c>
    </row>
    <row r="91" spans="1:9" ht="14.25" customHeight="1" x14ac:dyDescent="0.3">
      <c r="A91" s="3" t="s">
        <v>305</v>
      </c>
      <c r="B91" s="3" t="s">
        <v>306</v>
      </c>
      <c r="C91" s="3" t="s">
        <v>307</v>
      </c>
      <c r="D91" s="3" t="s">
        <v>46</v>
      </c>
      <c r="E91" s="3" t="s">
        <v>47</v>
      </c>
      <c r="F91" s="3" t="s">
        <v>41</v>
      </c>
      <c r="G91" s="3">
        <v>1</v>
      </c>
      <c r="H91" s="3">
        <v>12000</v>
      </c>
      <c r="I91" s="3" t="s">
        <v>15</v>
      </c>
    </row>
    <row r="92" spans="1:9" ht="14.25" customHeight="1" x14ac:dyDescent="0.3">
      <c r="A92" s="3" t="s">
        <v>308</v>
      </c>
      <c r="B92" s="3" t="s">
        <v>309</v>
      </c>
      <c r="C92" s="3" t="s">
        <v>310</v>
      </c>
      <c r="D92" s="3" t="s">
        <v>19</v>
      </c>
      <c r="E92" s="3" t="s">
        <v>56</v>
      </c>
      <c r="F92" s="3" t="s">
        <v>20</v>
      </c>
      <c r="G92" s="3">
        <v>6</v>
      </c>
      <c r="H92" s="3">
        <v>2000</v>
      </c>
      <c r="I92" s="3" t="s">
        <v>15</v>
      </c>
    </row>
    <row r="93" spans="1:9" ht="14.25" customHeight="1" x14ac:dyDescent="0.3">
      <c r="A93" s="3" t="s">
        <v>311</v>
      </c>
      <c r="B93" s="3" t="s">
        <v>312</v>
      </c>
      <c r="C93" s="3" t="s">
        <v>313</v>
      </c>
      <c r="D93" s="3" t="s">
        <v>121</v>
      </c>
      <c r="E93" s="3" t="s">
        <v>314</v>
      </c>
      <c r="F93" s="3" t="s">
        <v>57</v>
      </c>
      <c r="G93" s="3"/>
      <c r="H93" s="3">
        <v>2000</v>
      </c>
      <c r="I93" s="3" t="s">
        <v>15</v>
      </c>
    </row>
    <row r="94" spans="1:9" ht="14.25" customHeight="1" x14ac:dyDescent="0.3">
      <c r="A94" s="3" t="s">
        <v>315</v>
      </c>
      <c r="B94" s="3" t="s">
        <v>316</v>
      </c>
      <c r="C94" s="3" t="s">
        <v>317</v>
      </c>
      <c r="D94" s="3" t="s">
        <v>12</v>
      </c>
      <c r="E94" s="3" t="s">
        <v>75</v>
      </c>
      <c r="F94" s="3" t="s">
        <v>122</v>
      </c>
      <c r="G94" s="3">
        <v>5</v>
      </c>
      <c r="H94" s="3">
        <v>3200</v>
      </c>
      <c r="I94" s="3" t="s">
        <v>21</v>
      </c>
    </row>
    <row r="95" spans="1:9" ht="14.25" customHeight="1" x14ac:dyDescent="0.3">
      <c r="A95" s="3" t="s">
        <v>318</v>
      </c>
      <c r="B95" s="3" t="s">
        <v>319</v>
      </c>
      <c r="C95" s="3" t="s">
        <v>286</v>
      </c>
      <c r="D95" s="3" t="s">
        <v>19</v>
      </c>
      <c r="E95" s="3" t="s">
        <v>51</v>
      </c>
      <c r="F95" s="3" t="s">
        <v>133</v>
      </c>
      <c r="G95" s="3">
        <v>4</v>
      </c>
      <c r="H95" s="3">
        <v>4000</v>
      </c>
      <c r="I95" s="3" t="s">
        <v>42</v>
      </c>
    </row>
    <row r="96" spans="1:9" ht="14.25" customHeight="1" x14ac:dyDescent="0.3">
      <c r="A96" s="3" t="s">
        <v>320</v>
      </c>
      <c r="B96" s="3" t="s">
        <v>288</v>
      </c>
      <c r="C96" s="3" t="s">
        <v>233</v>
      </c>
      <c r="D96" s="3" t="s">
        <v>46</v>
      </c>
      <c r="E96" s="3" t="s">
        <v>13</v>
      </c>
      <c r="F96" s="3" t="s">
        <v>146</v>
      </c>
      <c r="G96" s="3">
        <v>4</v>
      </c>
      <c r="H96" s="3">
        <v>12000</v>
      </c>
      <c r="I96" s="3" t="s">
        <v>15</v>
      </c>
    </row>
    <row r="97" spans="1:9" ht="14.25" customHeight="1" x14ac:dyDescent="0.3">
      <c r="A97" s="3" t="s">
        <v>321</v>
      </c>
      <c r="B97" s="3" t="s">
        <v>322</v>
      </c>
      <c r="C97" s="3" t="s">
        <v>69</v>
      </c>
      <c r="D97" s="3" t="s">
        <v>31</v>
      </c>
      <c r="E97" s="3" t="s">
        <v>56</v>
      </c>
      <c r="F97" s="3" t="s">
        <v>224</v>
      </c>
      <c r="G97" s="3">
        <v>8</v>
      </c>
      <c r="H97" s="3">
        <v>3200</v>
      </c>
      <c r="I97" s="3" t="s">
        <v>15</v>
      </c>
    </row>
    <row r="98" spans="1:9" ht="14.25" customHeight="1" x14ac:dyDescent="0.3">
      <c r="A98" s="3" t="s">
        <v>323</v>
      </c>
      <c r="B98" s="3" t="s">
        <v>324</v>
      </c>
      <c r="C98" s="3" t="s">
        <v>325</v>
      </c>
      <c r="D98" s="3" t="s">
        <v>132</v>
      </c>
      <c r="E98" s="3" t="s">
        <v>89</v>
      </c>
      <c r="F98" s="3" t="s">
        <v>71</v>
      </c>
      <c r="G98" s="3">
        <v>2</v>
      </c>
      <c r="H98" s="3">
        <v>4000</v>
      </c>
      <c r="I98" s="3" t="s">
        <v>42</v>
      </c>
    </row>
    <row r="99" spans="1:9" ht="14.25" customHeight="1" x14ac:dyDescent="0.3">
      <c r="A99" s="3" t="s">
        <v>326</v>
      </c>
      <c r="B99" s="3" t="s">
        <v>327</v>
      </c>
      <c r="C99" s="3" t="s">
        <v>328</v>
      </c>
      <c r="D99" s="3" t="s">
        <v>19</v>
      </c>
      <c r="E99" s="3" t="s">
        <v>61</v>
      </c>
      <c r="F99" s="3" t="s">
        <v>169</v>
      </c>
      <c r="G99" s="3">
        <v>2</v>
      </c>
      <c r="H99" s="3">
        <v>2000</v>
      </c>
      <c r="I99" s="3" t="s">
        <v>15</v>
      </c>
    </row>
    <row r="100" spans="1:9" ht="14.25" customHeight="1" x14ac:dyDescent="0.3">
      <c r="A100" s="3" t="s">
        <v>329</v>
      </c>
      <c r="B100" s="3" t="s">
        <v>312</v>
      </c>
      <c r="C100" s="3" t="s">
        <v>330</v>
      </c>
      <c r="D100" s="3" t="s">
        <v>12</v>
      </c>
      <c r="E100" s="3" t="s">
        <v>26</v>
      </c>
      <c r="F100" s="3" t="s">
        <v>27</v>
      </c>
      <c r="G100" s="3">
        <v>3</v>
      </c>
      <c r="H100" s="3">
        <v>2000</v>
      </c>
      <c r="I100" s="3" t="s">
        <v>15</v>
      </c>
    </row>
    <row r="101" spans="1:9" ht="14.25" customHeight="1" x14ac:dyDescent="0.3">
      <c r="A101" s="3" t="s">
        <v>331</v>
      </c>
      <c r="B101" s="3" t="s">
        <v>332</v>
      </c>
      <c r="C101" s="3" t="s">
        <v>230</v>
      </c>
      <c r="D101" s="3" t="s">
        <v>121</v>
      </c>
      <c r="E101" s="3" t="s">
        <v>163</v>
      </c>
      <c r="F101" s="3" t="s">
        <v>333</v>
      </c>
      <c r="G101" s="3">
        <v>8</v>
      </c>
      <c r="H101" s="3">
        <v>12000</v>
      </c>
      <c r="I101" s="3" t="s">
        <v>21</v>
      </c>
    </row>
    <row r="102" spans="1:9" ht="14.25" customHeight="1" x14ac:dyDescent="0.3">
      <c r="A102" s="3" t="s">
        <v>334</v>
      </c>
      <c r="B102" s="3" t="s">
        <v>335</v>
      </c>
      <c r="C102" s="3" t="s">
        <v>266</v>
      </c>
      <c r="D102" s="3" t="s">
        <v>210</v>
      </c>
      <c r="E102" s="3" t="s">
        <v>93</v>
      </c>
      <c r="F102" s="3" t="s">
        <v>211</v>
      </c>
      <c r="G102" s="3">
        <v>6</v>
      </c>
      <c r="H102" s="3">
        <v>2500</v>
      </c>
      <c r="I102" s="3" t="s">
        <v>42</v>
      </c>
    </row>
    <row r="103" spans="1:9" ht="14.25" customHeight="1" x14ac:dyDescent="0.3">
      <c r="A103" s="3" t="s">
        <v>336</v>
      </c>
      <c r="B103" s="3" t="s">
        <v>337</v>
      </c>
      <c r="C103" s="3" t="s">
        <v>338</v>
      </c>
      <c r="D103" s="3" t="s">
        <v>132</v>
      </c>
      <c r="E103" s="3" t="s">
        <v>181</v>
      </c>
      <c r="F103" s="3" t="s">
        <v>81</v>
      </c>
      <c r="G103" s="3">
        <v>2</v>
      </c>
      <c r="H103" s="3">
        <v>3200</v>
      </c>
      <c r="I103" s="3" t="s">
        <v>42</v>
      </c>
    </row>
    <row r="104" spans="1:9" ht="14.25" customHeight="1" x14ac:dyDescent="0.3">
      <c r="A104" s="3" t="s">
        <v>339</v>
      </c>
      <c r="B104" s="3" t="s">
        <v>340</v>
      </c>
      <c r="C104" s="3" t="s">
        <v>341</v>
      </c>
      <c r="D104" s="3" t="s">
        <v>210</v>
      </c>
      <c r="E104" s="3" t="s">
        <v>163</v>
      </c>
      <c r="F104" s="3" t="s">
        <v>211</v>
      </c>
      <c r="G104" s="3">
        <v>1</v>
      </c>
      <c r="H104" s="3">
        <v>5500</v>
      </c>
      <c r="I104" s="3" t="s">
        <v>21</v>
      </c>
    </row>
    <row r="105" spans="1:9" ht="14.25" customHeight="1" x14ac:dyDescent="0.3">
      <c r="A105" s="3" t="s">
        <v>250</v>
      </c>
      <c r="B105" s="3" t="s">
        <v>251</v>
      </c>
      <c r="C105" s="3" t="s">
        <v>128</v>
      </c>
      <c r="D105" s="3" t="s">
        <v>115</v>
      </c>
      <c r="E105" s="3" t="s">
        <v>40</v>
      </c>
      <c r="F105" s="3" t="s">
        <v>104</v>
      </c>
      <c r="G105" s="3">
        <v>8</v>
      </c>
      <c r="H105" s="3">
        <v>2500</v>
      </c>
      <c r="I105" s="3" t="s">
        <v>15</v>
      </c>
    </row>
    <row r="106" spans="1:9" ht="14.25" customHeight="1" x14ac:dyDescent="0.3">
      <c r="A106" s="3" t="s">
        <v>342</v>
      </c>
      <c r="B106" s="3" t="s">
        <v>199</v>
      </c>
      <c r="C106" s="3" t="s">
        <v>343</v>
      </c>
      <c r="D106" s="3" t="s">
        <v>12</v>
      </c>
      <c r="E106" s="3" t="s">
        <v>61</v>
      </c>
      <c r="F106" s="3" t="s">
        <v>62</v>
      </c>
      <c r="G106" s="3">
        <v>4</v>
      </c>
      <c r="H106" s="3">
        <v>1500</v>
      </c>
      <c r="I106" s="3" t="s">
        <v>15</v>
      </c>
    </row>
    <row r="107" spans="1:9" ht="14.25" customHeight="1" x14ac:dyDescent="0.3">
      <c r="A107" s="3" t="s">
        <v>344</v>
      </c>
      <c r="B107" s="3" t="s">
        <v>345</v>
      </c>
      <c r="C107" s="3" t="s">
        <v>209</v>
      </c>
      <c r="D107" s="3" t="s">
        <v>150</v>
      </c>
      <c r="E107" s="3" t="s">
        <v>47</v>
      </c>
      <c r="F107" s="3" t="s">
        <v>104</v>
      </c>
      <c r="G107" s="3">
        <v>1</v>
      </c>
      <c r="H107" s="3">
        <v>1500</v>
      </c>
      <c r="I107" s="3" t="s">
        <v>21</v>
      </c>
    </row>
    <row r="108" spans="1:9" ht="14.25" customHeight="1" x14ac:dyDescent="0.3">
      <c r="A108" s="3" t="s">
        <v>346</v>
      </c>
      <c r="B108" s="3" t="s">
        <v>347</v>
      </c>
      <c r="C108" s="3" t="s">
        <v>348</v>
      </c>
      <c r="D108" s="3" t="s">
        <v>85</v>
      </c>
      <c r="E108" s="3" t="s">
        <v>47</v>
      </c>
      <c r="F108" s="3" t="s">
        <v>111</v>
      </c>
      <c r="G108" s="3">
        <v>2</v>
      </c>
      <c r="H108" s="3">
        <v>4000</v>
      </c>
      <c r="I108" s="3" t="s">
        <v>42</v>
      </c>
    </row>
    <row r="109" spans="1:9" ht="14.25" customHeight="1" x14ac:dyDescent="0.3">
      <c r="A109" s="3" t="s">
        <v>349</v>
      </c>
      <c r="B109" s="3" t="s">
        <v>350</v>
      </c>
      <c r="C109" s="3" t="s">
        <v>351</v>
      </c>
      <c r="D109" s="3" t="s">
        <v>210</v>
      </c>
      <c r="E109" s="3" t="s">
        <v>163</v>
      </c>
      <c r="F109" s="3" t="s">
        <v>94</v>
      </c>
      <c r="G109" s="3">
        <v>4</v>
      </c>
      <c r="H109" s="3">
        <v>4000</v>
      </c>
      <c r="I109" s="3" t="s">
        <v>42</v>
      </c>
    </row>
    <row r="110" spans="1:9" ht="14.25" customHeight="1" x14ac:dyDescent="0.3">
      <c r="A110" s="3" t="s">
        <v>352</v>
      </c>
      <c r="B110" s="3" t="s">
        <v>353</v>
      </c>
      <c r="C110" s="3" t="s">
        <v>354</v>
      </c>
      <c r="D110" s="3" t="s">
        <v>25</v>
      </c>
      <c r="E110" s="3" t="s">
        <v>80</v>
      </c>
      <c r="F110" s="3" t="s">
        <v>133</v>
      </c>
      <c r="G110" s="3">
        <v>2</v>
      </c>
      <c r="H110" s="3">
        <v>4000</v>
      </c>
      <c r="I110" s="3" t="s">
        <v>42</v>
      </c>
    </row>
    <row r="111" spans="1:9" ht="14.25" customHeight="1" x14ac:dyDescent="0.3">
      <c r="A111" s="3" t="s">
        <v>355</v>
      </c>
      <c r="B111" s="3" t="s">
        <v>356</v>
      </c>
      <c r="C111" s="3" t="s">
        <v>357</v>
      </c>
      <c r="D111" s="3" t="s">
        <v>46</v>
      </c>
      <c r="E111" s="3" t="s">
        <v>89</v>
      </c>
      <c r="F111" s="3" t="s">
        <v>76</v>
      </c>
      <c r="G111" s="3">
        <v>1</v>
      </c>
      <c r="H111" s="3">
        <v>5500</v>
      </c>
      <c r="I111" s="3" t="s">
        <v>42</v>
      </c>
    </row>
    <row r="112" spans="1:9" ht="14.25" customHeight="1" x14ac:dyDescent="0.3">
      <c r="A112" s="3" t="s">
        <v>358</v>
      </c>
      <c r="B112" s="3" t="s">
        <v>359</v>
      </c>
      <c r="C112" s="3" t="s">
        <v>354</v>
      </c>
      <c r="D112" s="3" t="s">
        <v>132</v>
      </c>
      <c r="E112" s="3" t="s">
        <v>70</v>
      </c>
      <c r="F112" s="3" t="s">
        <v>108</v>
      </c>
      <c r="G112" s="3">
        <v>6</v>
      </c>
      <c r="H112" s="3">
        <v>2000</v>
      </c>
      <c r="I112" s="3" t="s">
        <v>15</v>
      </c>
    </row>
    <row r="113" spans="1:9" ht="14.25" customHeight="1" x14ac:dyDescent="0.3">
      <c r="A113" s="3" t="s">
        <v>360</v>
      </c>
      <c r="B113" s="3" t="s">
        <v>361</v>
      </c>
      <c r="C113" s="3" t="s">
        <v>362</v>
      </c>
      <c r="D113" s="3" t="s">
        <v>132</v>
      </c>
      <c r="E113" s="3" t="s">
        <v>56</v>
      </c>
      <c r="F113" s="3" t="s">
        <v>20</v>
      </c>
      <c r="G113" s="3">
        <v>2</v>
      </c>
      <c r="H113" s="3">
        <v>4000</v>
      </c>
      <c r="I113" s="3" t="s">
        <v>42</v>
      </c>
    </row>
    <row r="114" spans="1:9" ht="14.25" customHeight="1" x14ac:dyDescent="0.3">
      <c r="A114" s="3" t="s">
        <v>363</v>
      </c>
      <c r="B114" s="3" t="s">
        <v>364</v>
      </c>
      <c r="C114" s="3" t="s">
        <v>365</v>
      </c>
      <c r="D114" s="3" t="s">
        <v>25</v>
      </c>
      <c r="E114" s="3" t="s">
        <v>61</v>
      </c>
      <c r="F114" s="3" t="s">
        <v>211</v>
      </c>
      <c r="G114" s="3">
        <v>8</v>
      </c>
      <c r="H114" s="3">
        <v>4000</v>
      </c>
      <c r="I114" s="3" t="s">
        <v>15</v>
      </c>
    </row>
    <row r="115" spans="1:9" ht="14.25" customHeight="1" x14ac:dyDescent="0.3">
      <c r="A115" s="3" t="s">
        <v>366</v>
      </c>
      <c r="B115" s="3" t="s">
        <v>102</v>
      </c>
      <c r="C115" s="3" t="s">
        <v>367</v>
      </c>
      <c r="D115" s="3" t="s">
        <v>25</v>
      </c>
      <c r="E115" s="3" t="s">
        <v>56</v>
      </c>
      <c r="F115" s="3" t="s">
        <v>224</v>
      </c>
      <c r="G115" s="3">
        <v>3</v>
      </c>
      <c r="H115" s="3">
        <v>9500</v>
      </c>
      <c r="I115" s="3" t="s">
        <v>21</v>
      </c>
    </row>
    <row r="116" spans="1:9" ht="14.25" customHeight="1" x14ac:dyDescent="0.3">
      <c r="A116" s="3" t="s">
        <v>368</v>
      </c>
      <c r="B116" s="3" t="s">
        <v>369</v>
      </c>
      <c r="C116" s="3" t="s">
        <v>370</v>
      </c>
      <c r="D116" s="3" t="s">
        <v>150</v>
      </c>
      <c r="E116" s="3" t="s">
        <v>47</v>
      </c>
      <c r="F116" s="3" t="s">
        <v>27</v>
      </c>
      <c r="G116" s="3">
        <v>2</v>
      </c>
      <c r="H116" s="3">
        <v>1500</v>
      </c>
      <c r="I116" s="3" t="s">
        <v>15</v>
      </c>
    </row>
    <row r="117" spans="1:9" ht="14.25" customHeight="1" x14ac:dyDescent="0.3">
      <c r="A117" s="3" t="s">
        <v>371</v>
      </c>
      <c r="B117" s="3" t="s">
        <v>309</v>
      </c>
      <c r="C117" s="3" t="s">
        <v>103</v>
      </c>
      <c r="D117" s="3" t="s">
        <v>36</v>
      </c>
      <c r="E117" s="3" t="s">
        <v>61</v>
      </c>
      <c r="F117" s="3" t="s">
        <v>62</v>
      </c>
      <c r="G117" s="3">
        <v>7</v>
      </c>
      <c r="H117" s="3">
        <v>4000</v>
      </c>
      <c r="I117" s="3" t="s">
        <v>15</v>
      </c>
    </row>
    <row r="118" spans="1:9" ht="14.25" customHeight="1" x14ac:dyDescent="0.3">
      <c r="A118" s="3" t="s">
        <v>372</v>
      </c>
      <c r="B118" s="3" t="s">
        <v>373</v>
      </c>
      <c r="C118" s="3" t="s">
        <v>374</v>
      </c>
      <c r="D118" s="3" t="s">
        <v>210</v>
      </c>
      <c r="E118" s="3" t="s">
        <v>40</v>
      </c>
      <c r="F118" s="3" t="s">
        <v>151</v>
      </c>
      <c r="G118" s="3">
        <v>4</v>
      </c>
      <c r="H118" s="3">
        <v>9500</v>
      </c>
      <c r="I118" s="3" t="s">
        <v>42</v>
      </c>
    </row>
    <row r="119" spans="1:9" ht="14.25" customHeight="1" x14ac:dyDescent="0.3">
      <c r="A119" s="3" t="s">
        <v>375</v>
      </c>
      <c r="B119" s="3" t="s">
        <v>376</v>
      </c>
      <c r="C119" s="3" t="s">
        <v>69</v>
      </c>
      <c r="D119" s="3" t="s">
        <v>121</v>
      </c>
      <c r="E119" s="3" t="s">
        <v>89</v>
      </c>
      <c r="F119" s="3" t="s">
        <v>122</v>
      </c>
      <c r="G119" s="3">
        <v>7</v>
      </c>
      <c r="H119" s="3">
        <v>9500</v>
      </c>
      <c r="I119" s="3" t="s">
        <v>15</v>
      </c>
    </row>
    <row r="120" spans="1:9" ht="14.25" customHeight="1" x14ac:dyDescent="0.3">
      <c r="A120" s="3" t="s">
        <v>377</v>
      </c>
      <c r="B120" s="3" t="s">
        <v>378</v>
      </c>
      <c r="C120" s="3" t="s">
        <v>379</v>
      </c>
      <c r="D120" s="3" t="s">
        <v>46</v>
      </c>
      <c r="E120" s="3" t="s">
        <v>56</v>
      </c>
      <c r="F120" s="3" t="s">
        <v>14</v>
      </c>
      <c r="G120" s="3">
        <v>1</v>
      </c>
      <c r="H120" s="3">
        <v>2000</v>
      </c>
      <c r="I120" s="3" t="s">
        <v>42</v>
      </c>
    </row>
    <row r="121" spans="1:9" ht="14.25" customHeight="1" x14ac:dyDescent="0.3">
      <c r="A121" s="3" t="s">
        <v>380</v>
      </c>
      <c r="B121" s="3" t="s">
        <v>381</v>
      </c>
      <c r="C121" s="3" t="s">
        <v>382</v>
      </c>
      <c r="D121" s="3" t="s">
        <v>36</v>
      </c>
      <c r="E121" s="3" t="s">
        <v>47</v>
      </c>
      <c r="F121" s="3" t="s">
        <v>41</v>
      </c>
      <c r="G121" s="3">
        <v>5</v>
      </c>
      <c r="H121" s="3">
        <v>7000</v>
      </c>
      <c r="I121" s="3" t="s">
        <v>15</v>
      </c>
    </row>
    <row r="122" spans="1:9" ht="14.25" customHeight="1" x14ac:dyDescent="0.3">
      <c r="A122" s="3" t="s">
        <v>383</v>
      </c>
      <c r="B122" s="3" t="s">
        <v>288</v>
      </c>
      <c r="C122" s="3" t="s">
        <v>341</v>
      </c>
      <c r="D122" s="3" t="s">
        <v>115</v>
      </c>
      <c r="E122" s="3" t="s">
        <v>89</v>
      </c>
      <c r="F122" s="3" t="s">
        <v>71</v>
      </c>
      <c r="G122" s="3">
        <v>3</v>
      </c>
      <c r="H122" s="3">
        <v>7000</v>
      </c>
      <c r="I122" s="3" t="s">
        <v>42</v>
      </c>
    </row>
    <row r="123" spans="1:9" ht="14.25" customHeight="1" x14ac:dyDescent="0.3">
      <c r="A123" s="3" t="s">
        <v>195</v>
      </c>
      <c r="B123" s="3" t="s">
        <v>196</v>
      </c>
      <c r="C123" s="3" t="s">
        <v>197</v>
      </c>
      <c r="D123" s="3" t="s">
        <v>36</v>
      </c>
      <c r="E123" s="3" t="s">
        <v>181</v>
      </c>
      <c r="F123" s="3" t="s">
        <v>182</v>
      </c>
      <c r="G123" s="3">
        <v>7</v>
      </c>
      <c r="H123" s="3">
        <v>5500</v>
      </c>
      <c r="I123" s="3" t="s">
        <v>15</v>
      </c>
    </row>
    <row r="124" spans="1:9" ht="14.25" customHeight="1" x14ac:dyDescent="0.3">
      <c r="A124" s="3" t="s">
        <v>384</v>
      </c>
      <c r="B124" s="3" t="s">
        <v>385</v>
      </c>
      <c r="C124" s="3" t="s">
        <v>191</v>
      </c>
      <c r="D124" s="3" t="s">
        <v>85</v>
      </c>
      <c r="E124" s="3" t="s">
        <v>163</v>
      </c>
      <c r="F124" s="3" t="s">
        <v>62</v>
      </c>
      <c r="G124" s="3">
        <v>3</v>
      </c>
      <c r="H124" s="3">
        <v>5500</v>
      </c>
      <c r="I124" s="3" t="s">
        <v>15</v>
      </c>
    </row>
    <row r="125" spans="1:9" ht="14.25" customHeight="1" x14ac:dyDescent="0.3">
      <c r="A125" s="3" t="s">
        <v>386</v>
      </c>
      <c r="B125" s="3" t="s">
        <v>387</v>
      </c>
      <c r="C125" s="3" t="s">
        <v>301</v>
      </c>
      <c r="D125" s="3" t="s">
        <v>85</v>
      </c>
      <c r="E125" s="3" t="s">
        <v>47</v>
      </c>
      <c r="F125" s="3" t="s">
        <v>41</v>
      </c>
      <c r="G125" s="3">
        <v>4</v>
      </c>
      <c r="H125" s="3">
        <v>9500</v>
      </c>
      <c r="I125" s="3" t="s">
        <v>42</v>
      </c>
    </row>
    <row r="126" spans="1:9" ht="14.25" customHeight="1" x14ac:dyDescent="0.3">
      <c r="A126" s="3" t="s">
        <v>388</v>
      </c>
      <c r="B126" s="3" t="s">
        <v>389</v>
      </c>
      <c r="C126" s="3" t="s">
        <v>390</v>
      </c>
      <c r="D126" s="3" t="s">
        <v>12</v>
      </c>
      <c r="E126" s="3" t="s">
        <v>163</v>
      </c>
      <c r="F126" s="3" t="s">
        <v>94</v>
      </c>
      <c r="G126" s="3">
        <v>1</v>
      </c>
      <c r="H126" s="3">
        <v>15000</v>
      </c>
      <c r="I126" s="3" t="s">
        <v>42</v>
      </c>
    </row>
    <row r="127" spans="1:9" ht="14.25" customHeight="1" x14ac:dyDescent="0.3">
      <c r="A127" s="3" t="s">
        <v>391</v>
      </c>
      <c r="B127" s="3" t="s">
        <v>392</v>
      </c>
      <c r="C127" s="3" t="s">
        <v>107</v>
      </c>
      <c r="D127" s="3" t="s">
        <v>31</v>
      </c>
      <c r="E127" s="3" t="s">
        <v>70</v>
      </c>
      <c r="F127" s="3" t="s">
        <v>215</v>
      </c>
      <c r="G127" s="3">
        <v>7</v>
      </c>
      <c r="H127" s="3">
        <v>12000</v>
      </c>
      <c r="I127" s="3" t="s">
        <v>21</v>
      </c>
    </row>
    <row r="128" spans="1:9" ht="14.25" customHeight="1" x14ac:dyDescent="0.3">
      <c r="A128" s="3" t="s">
        <v>393</v>
      </c>
      <c r="B128" s="3" t="s">
        <v>394</v>
      </c>
      <c r="C128" s="3" t="s">
        <v>50</v>
      </c>
      <c r="D128" s="3" t="s">
        <v>132</v>
      </c>
      <c r="E128" s="3" t="s">
        <v>61</v>
      </c>
      <c r="F128" s="3" t="s">
        <v>169</v>
      </c>
      <c r="G128" s="3">
        <v>6</v>
      </c>
      <c r="H128" s="3">
        <v>9500</v>
      </c>
      <c r="I128" s="3" t="s">
        <v>42</v>
      </c>
    </row>
    <row r="129" spans="1:9" ht="14.25" customHeight="1" x14ac:dyDescent="0.3">
      <c r="A129" s="3" t="s">
        <v>395</v>
      </c>
      <c r="B129" s="3" t="s">
        <v>396</v>
      </c>
      <c r="C129" s="3" t="s">
        <v>397</v>
      </c>
      <c r="D129" s="3" t="s">
        <v>31</v>
      </c>
      <c r="E129" s="3" t="s">
        <v>56</v>
      </c>
      <c r="F129" s="3" t="s">
        <v>14</v>
      </c>
      <c r="G129" s="3">
        <v>3</v>
      </c>
      <c r="H129" s="3">
        <v>12000</v>
      </c>
      <c r="I129" s="3" t="s">
        <v>15</v>
      </c>
    </row>
    <row r="130" spans="1:9" ht="14.25" customHeight="1" x14ac:dyDescent="0.3">
      <c r="A130" s="3" t="s">
        <v>398</v>
      </c>
      <c r="B130" s="3" t="s">
        <v>385</v>
      </c>
      <c r="C130" s="3" t="s">
        <v>399</v>
      </c>
      <c r="D130" s="3" t="s">
        <v>150</v>
      </c>
      <c r="E130" s="3" t="s">
        <v>40</v>
      </c>
      <c r="F130" s="3" t="s">
        <v>111</v>
      </c>
      <c r="G130" s="3">
        <v>8</v>
      </c>
      <c r="H130" s="3">
        <v>2000</v>
      </c>
      <c r="I130" s="3" t="s">
        <v>21</v>
      </c>
    </row>
    <row r="131" spans="1:9" ht="14.25" customHeight="1" x14ac:dyDescent="0.3">
      <c r="A131" s="3" t="s">
        <v>400</v>
      </c>
      <c r="B131" s="3" t="s">
        <v>401</v>
      </c>
      <c r="C131" s="3" t="s">
        <v>402</v>
      </c>
      <c r="D131" s="3" t="s">
        <v>85</v>
      </c>
      <c r="E131" s="3" t="s">
        <v>47</v>
      </c>
      <c r="F131" s="3" t="s">
        <v>41</v>
      </c>
      <c r="G131" s="3">
        <v>6</v>
      </c>
      <c r="H131" s="3">
        <v>9500</v>
      </c>
      <c r="I131" s="3" t="s">
        <v>15</v>
      </c>
    </row>
    <row r="132" spans="1:9" ht="14.25" customHeight="1" x14ac:dyDescent="0.3">
      <c r="A132" s="3" t="s">
        <v>403</v>
      </c>
      <c r="B132" s="3" t="s">
        <v>404</v>
      </c>
      <c r="C132" s="3" t="s">
        <v>142</v>
      </c>
      <c r="D132" s="3" t="s">
        <v>19</v>
      </c>
      <c r="E132" s="3" t="s">
        <v>70</v>
      </c>
      <c r="F132" s="3" t="s">
        <v>76</v>
      </c>
      <c r="G132" s="3">
        <v>7</v>
      </c>
      <c r="H132" s="3">
        <v>9500</v>
      </c>
      <c r="I132" s="3" t="s">
        <v>21</v>
      </c>
    </row>
    <row r="133" spans="1:9" ht="14.25" customHeight="1" x14ac:dyDescent="0.3">
      <c r="A133" s="3" t="s">
        <v>405</v>
      </c>
      <c r="B133" s="3" t="s">
        <v>141</v>
      </c>
      <c r="C133" s="3" t="s">
        <v>406</v>
      </c>
      <c r="D133" s="3" t="s">
        <v>115</v>
      </c>
      <c r="E133" s="3" t="s">
        <v>56</v>
      </c>
      <c r="F133" s="3" t="s">
        <v>146</v>
      </c>
      <c r="G133" s="3">
        <v>4</v>
      </c>
      <c r="H133" s="3">
        <v>15000</v>
      </c>
      <c r="I133" s="3" t="s">
        <v>42</v>
      </c>
    </row>
    <row r="134" spans="1:9" ht="14.25" customHeight="1" x14ac:dyDescent="0.3">
      <c r="A134" s="3" t="s">
        <v>407</v>
      </c>
      <c r="B134" s="3" t="s">
        <v>226</v>
      </c>
      <c r="C134" s="3" t="s">
        <v>136</v>
      </c>
      <c r="D134" s="3" t="s">
        <v>132</v>
      </c>
      <c r="E134" s="3" t="s">
        <v>13</v>
      </c>
      <c r="F134" s="3" t="s">
        <v>146</v>
      </c>
      <c r="G134" s="3">
        <v>5</v>
      </c>
      <c r="H134" s="3">
        <v>3200</v>
      </c>
      <c r="I134" s="3" t="s">
        <v>21</v>
      </c>
    </row>
    <row r="135" spans="1:9" ht="14.25" customHeight="1" x14ac:dyDescent="0.3">
      <c r="A135" s="3" t="s">
        <v>408</v>
      </c>
      <c r="B135" s="3" t="s">
        <v>409</v>
      </c>
      <c r="C135" s="3" t="s">
        <v>410</v>
      </c>
      <c r="D135" s="3" t="s">
        <v>25</v>
      </c>
      <c r="E135" s="3" t="s">
        <v>163</v>
      </c>
      <c r="F135" s="3" t="s">
        <v>211</v>
      </c>
      <c r="G135" s="3">
        <v>2</v>
      </c>
      <c r="H135" s="3">
        <v>4000</v>
      </c>
      <c r="I135" s="3" t="s">
        <v>15</v>
      </c>
    </row>
    <row r="136" spans="1:9" ht="14.25" customHeight="1" x14ac:dyDescent="0.3">
      <c r="A136" s="3" t="s">
        <v>411</v>
      </c>
      <c r="B136" s="3" t="s">
        <v>245</v>
      </c>
      <c r="C136" s="3" t="s">
        <v>412</v>
      </c>
      <c r="D136" s="3" t="s">
        <v>12</v>
      </c>
      <c r="E136" s="3" t="s">
        <v>51</v>
      </c>
      <c r="F136" s="3" t="s">
        <v>133</v>
      </c>
      <c r="G136" s="3">
        <v>2</v>
      </c>
      <c r="H136" s="3">
        <v>7000</v>
      </c>
      <c r="I136" s="3" t="s">
        <v>21</v>
      </c>
    </row>
    <row r="137" spans="1:9" ht="14.25" customHeight="1" x14ac:dyDescent="0.3">
      <c r="A137" s="3" t="s">
        <v>413</v>
      </c>
      <c r="B137" s="3" t="s">
        <v>414</v>
      </c>
      <c r="C137" s="3" t="s">
        <v>145</v>
      </c>
      <c r="D137" s="3" t="s">
        <v>25</v>
      </c>
      <c r="E137" s="3" t="s">
        <v>26</v>
      </c>
      <c r="F137" s="3" t="s">
        <v>111</v>
      </c>
      <c r="G137" s="3">
        <v>6</v>
      </c>
      <c r="H137" s="3">
        <v>3200</v>
      </c>
      <c r="I137" s="3" t="s">
        <v>42</v>
      </c>
    </row>
    <row r="138" spans="1:9" ht="14.25" customHeight="1" x14ac:dyDescent="0.3">
      <c r="A138" s="3" t="s">
        <v>415</v>
      </c>
      <c r="B138" s="3" t="s">
        <v>213</v>
      </c>
      <c r="C138" s="3" t="s">
        <v>416</v>
      </c>
      <c r="D138" s="3" t="s">
        <v>150</v>
      </c>
      <c r="E138" s="3" t="s">
        <v>70</v>
      </c>
      <c r="F138" s="3" t="s">
        <v>215</v>
      </c>
      <c r="G138" s="3">
        <v>4</v>
      </c>
      <c r="H138" s="3">
        <v>5500</v>
      </c>
      <c r="I138" s="3" t="s">
        <v>21</v>
      </c>
    </row>
    <row r="139" spans="1:9" ht="14.25" customHeight="1" x14ac:dyDescent="0.3">
      <c r="A139" s="3" t="s">
        <v>417</v>
      </c>
      <c r="B139" s="3" t="s">
        <v>394</v>
      </c>
      <c r="C139" s="3" t="s">
        <v>418</v>
      </c>
      <c r="D139" s="3" t="s">
        <v>12</v>
      </c>
      <c r="E139" s="3" t="s">
        <v>51</v>
      </c>
      <c r="F139" s="3" t="s">
        <v>52</v>
      </c>
      <c r="G139" s="3">
        <v>2</v>
      </c>
      <c r="H139" s="3">
        <v>5500</v>
      </c>
      <c r="I139" s="3" t="s">
        <v>21</v>
      </c>
    </row>
    <row r="140" spans="1:9" ht="14.25" customHeight="1" x14ac:dyDescent="0.3">
      <c r="A140" s="3" t="s">
        <v>82</v>
      </c>
      <c r="B140" s="3" t="s">
        <v>83</v>
      </c>
      <c r="C140" s="3" t="s">
        <v>84</v>
      </c>
      <c r="D140" s="3" t="s">
        <v>85</v>
      </c>
      <c r="E140" s="3" t="s">
        <v>56</v>
      </c>
      <c r="F140" s="3" t="s">
        <v>20</v>
      </c>
      <c r="G140" s="3">
        <v>5</v>
      </c>
      <c r="H140" s="3">
        <v>2500</v>
      </c>
      <c r="I140" s="3" t="s">
        <v>15</v>
      </c>
    </row>
    <row r="141" spans="1:9" ht="14.25" customHeight="1" x14ac:dyDescent="0.3">
      <c r="A141" s="3" t="s">
        <v>321</v>
      </c>
      <c r="B141" s="3" t="s">
        <v>322</v>
      </c>
      <c r="C141" s="3" t="s">
        <v>69</v>
      </c>
      <c r="D141" s="3" t="s">
        <v>31</v>
      </c>
      <c r="E141" s="3" t="s">
        <v>56</v>
      </c>
      <c r="F141" s="3" t="s">
        <v>224</v>
      </c>
      <c r="G141" s="3">
        <v>8</v>
      </c>
      <c r="H141" s="3">
        <v>3200</v>
      </c>
      <c r="I141" s="3" t="s">
        <v>15</v>
      </c>
    </row>
    <row r="142" spans="1:9" ht="14.25" customHeight="1" x14ac:dyDescent="0.3">
      <c r="A142" s="3" t="s">
        <v>419</v>
      </c>
      <c r="B142" s="3" t="s">
        <v>420</v>
      </c>
      <c r="C142" s="3" t="s">
        <v>421</v>
      </c>
      <c r="D142" s="3" t="s">
        <v>132</v>
      </c>
      <c r="E142" s="3" t="s">
        <v>51</v>
      </c>
      <c r="F142" s="3" t="s">
        <v>182</v>
      </c>
      <c r="G142" s="3">
        <v>7</v>
      </c>
      <c r="H142" s="3">
        <v>2500</v>
      </c>
      <c r="I142" s="3" t="s">
        <v>42</v>
      </c>
    </row>
    <row r="143" spans="1:9" ht="14.25" customHeight="1" x14ac:dyDescent="0.3">
      <c r="A143" s="3" t="s">
        <v>422</v>
      </c>
      <c r="B143" s="3" t="s">
        <v>423</v>
      </c>
      <c r="C143" s="3" t="s">
        <v>424</v>
      </c>
      <c r="D143" s="3" t="s">
        <v>115</v>
      </c>
      <c r="E143" s="3" t="s">
        <v>40</v>
      </c>
      <c r="F143" s="3" t="s">
        <v>111</v>
      </c>
      <c r="G143" s="3">
        <v>4</v>
      </c>
      <c r="H143" s="3">
        <v>2000</v>
      </c>
      <c r="I143" s="3" t="s">
        <v>21</v>
      </c>
    </row>
    <row r="144" spans="1:9" ht="14.25" customHeight="1" x14ac:dyDescent="0.3">
      <c r="A144" s="3" t="s">
        <v>425</v>
      </c>
      <c r="B144" s="3" t="s">
        <v>426</v>
      </c>
      <c r="C144" s="3" t="s">
        <v>427</v>
      </c>
      <c r="D144" s="3" t="s">
        <v>85</v>
      </c>
      <c r="E144" s="3" t="s">
        <v>163</v>
      </c>
      <c r="F144" s="3" t="s">
        <v>333</v>
      </c>
      <c r="G144" s="3"/>
      <c r="H144" s="3">
        <v>3200</v>
      </c>
      <c r="I144" s="3" t="s">
        <v>42</v>
      </c>
    </row>
    <row r="145" spans="1:9" ht="14.25" customHeight="1" x14ac:dyDescent="0.3">
      <c r="A145" s="3" t="s">
        <v>63</v>
      </c>
      <c r="B145" s="3" t="s">
        <v>64</v>
      </c>
      <c r="C145" s="3" t="s">
        <v>65</v>
      </c>
      <c r="D145" s="3" t="s">
        <v>66</v>
      </c>
      <c r="E145" s="3" t="s">
        <v>26</v>
      </c>
      <c r="F145" s="3" t="s">
        <v>41</v>
      </c>
      <c r="G145" s="3">
        <v>6</v>
      </c>
      <c r="H145" s="3">
        <v>4000</v>
      </c>
      <c r="I145" s="3" t="s">
        <v>21</v>
      </c>
    </row>
    <row r="146" spans="1:9" ht="14.25" customHeight="1" x14ac:dyDescent="0.3">
      <c r="A146" s="3" t="s">
        <v>428</v>
      </c>
      <c r="B146" s="3" t="s">
        <v>429</v>
      </c>
      <c r="C146" s="3" t="s">
        <v>328</v>
      </c>
      <c r="D146" s="3" t="s">
        <v>12</v>
      </c>
      <c r="E146" s="3" t="s">
        <v>26</v>
      </c>
      <c r="F146" s="3" t="s">
        <v>41</v>
      </c>
      <c r="G146" s="3">
        <v>6</v>
      </c>
      <c r="H146" s="3">
        <v>3200</v>
      </c>
      <c r="I146" s="3" t="s">
        <v>21</v>
      </c>
    </row>
    <row r="147" spans="1:9" ht="14.25" customHeight="1" x14ac:dyDescent="0.3">
      <c r="A147" s="3" t="s">
        <v>430</v>
      </c>
      <c r="B147" s="3" t="s">
        <v>431</v>
      </c>
      <c r="C147" s="3" t="s">
        <v>286</v>
      </c>
      <c r="D147" s="3" t="s">
        <v>12</v>
      </c>
      <c r="E147" s="3" t="s">
        <v>80</v>
      </c>
      <c r="F147" s="3" t="s">
        <v>81</v>
      </c>
      <c r="G147" s="3">
        <v>1</v>
      </c>
      <c r="H147" s="3">
        <v>15000</v>
      </c>
      <c r="I147" s="3" t="s">
        <v>42</v>
      </c>
    </row>
    <row r="148" spans="1:9" ht="14.25" customHeight="1" x14ac:dyDescent="0.3">
      <c r="A148" s="3" t="s">
        <v>432</v>
      </c>
      <c r="B148" s="3" t="s">
        <v>433</v>
      </c>
      <c r="C148" s="3" t="s">
        <v>434</v>
      </c>
      <c r="D148" s="3" t="s">
        <v>12</v>
      </c>
      <c r="E148" s="3" t="s">
        <v>32</v>
      </c>
      <c r="F148" s="3" t="s">
        <v>20</v>
      </c>
      <c r="G148" s="3">
        <v>6</v>
      </c>
      <c r="H148" s="3">
        <v>12000</v>
      </c>
      <c r="I148" s="3" t="s">
        <v>42</v>
      </c>
    </row>
    <row r="149" spans="1:9" ht="14.25" customHeight="1" x14ac:dyDescent="0.3">
      <c r="A149" s="3" t="s">
        <v>435</v>
      </c>
      <c r="B149" s="3" t="s">
        <v>171</v>
      </c>
      <c r="C149" s="3" t="s">
        <v>436</v>
      </c>
      <c r="D149" s="3" t="s">
        <v>12</v>
      </c>
      <c r="E149" s="3" t="s">
        <v>13</v>
      </c>
      <c r="F149" s="3" t="s">
        <v>146</v>
      </c>
      <c r="G149" s="3">
        <v>8</v>
      </c>
      <c r="H149" s="3">
        <v>3200</v>
      </c>
      <c r="I149" s="3" t="s">
        <v>15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8B85A-AE3C-456F-A0F6-C0B9FB2E5813}">
  <dimension ref="A1:L135"/>
  <sheetViews>
    <sheetView tabSelected="1" zoomScaleNormal="100" workbookViewId="0">
      <pane ySplit="1" topLeftCell="A2" activePane="bottomLeft" state="frozen"/>
      <selection pane="bottomLeft" activeCell="K12" sqref="K12"/>
    </sheetView>
  </sheetViews>
  <sheetFormatPr defaultColWidth="8.6640625" defaultRowHeight="14.4" x14ac:dyDescent="0.3"/>
  <cols>
    <col min="1" max="1" width="12" customWidth="1"/>
    <col min="2" max="2" width="14" style="4" customWidth="1"/>
    <col min="3" max="3" width="20" customWidth="1"/>
    <col min="4" max="5" width="16" customWidth="1"/>
    <col min="6" max="6" width="20" customWidth="1"/>
    <col min="7" max="7" width="10" customWidth="1"/>
    <col min="8" max="8" width="12.33203125" style="26" bestFit="1" customWidth="1"/>
    <col min="9" max="9" width="13.44140625" style="26" bestFit="1" customWidth="1"/>
    <col min="10" max="10" width="17.6640625" customWidth="1"/>
  </cols>
  <sheetData>
    <row r="1" spans="1:12" ht="14.25" customHeight="1" x14ac:dyDescent="0.3">
      <c r="A1" s="1" t="s">
        <v>0</v>
      </c>
      <c r="B1" s="5" t="s">
        <v>1</v>
      </c>
      <c r="C1" s="6" t="s">
        <v>2</v>
      </c>
      <c r="D1" s="1" t="s">
        <v>3</v>
      </c>
      <c r="E1" s="1" t="s">
        <v>4</v>
      </c>
      <c r="F1" s="1" t="s">
        <v>5</v>
      </c>
      <c r="G1" s="1" t="s">
        <v>6</v>
      </c>
      <c r="H1" s="24" t="s">
        <v>7</v>
      </c>
      <c r="I1" s="27" t="s">
        <v>437</v>
      </c>
      <c r="J1" s="6" t="s">
        <v>8</v>
      </c>
      <c r="L1" s="2"/>
    </row>
    <row r="2" spans="1:12" ht="14.25" customHeight="1" x14ac:dyDescent="0.3">
      <c r="A2" s="3" t="s">
        <v>334</v>
      </c>
      <c r="B2" s="7">
        <v>46023</v>
      </c>
      <c r="C2" s="3" t="s">
        <v>266</v>
      </c>
      <c r="D2" s="3" t="s">
        <v>19</v>
      </c>
      <c r="E2" s="8" t="s">
        <v>93</v>
      </c>
      <c r="F2" s="3" t="s">
        <v>211</v>
      </c>
      <c r="G2" s="3">
        <v>6</v>
      </c>
      <c r="H2" s="25">
        <v>2500</v>
      </c>
      <c r="I2" s="25">
        <f t="shared" ref="I2:I33" si="0">G2*H2</f>
        <v>15000</v>
      </c>
      <c r="J2" s="3" t="s">
        <v>42</v>
      </c>
    </row>
    <row r="3" spans="1:12" ht="14.25" customHeight="1" x14ac:dyDescent="0.3">
      <c r="A3" s="3" t="s">
        <v>225</v>
      </c>
      <c r="B3" s="7">
        <v>46027</v>
      </c>
      <c r="C3" s="3" t="s">
        <v>227</v>
      </c>
      <c r="D3" s="3" t="s">
        <v>19</v>
      </c>
      <c r="E3" s="8" t="s">
        <v>40</v>
      </c>
      <c r="F3" s="3" t="s">
        <v>151</v>
      </c>
      <c r="G3" s="3">
        <v>2</v>
      </c>
      <c r="H3" s="25">
        <v>5500</v>
      </c>
      <c r="I3" s="25">
        <f t="shared" si="0"/>
        <v>11000</v>
      </c>
      <c r="J3" s="3" t="s">
        <v>15</v>
      </c>
    </row>
    <row r="4" spans="1:12" ht="14.25" customHeight="1" x14ac:dyDescent="0.3">
      <c r="A4" s="3" t="s">
        <v>407</v>
      </c>
      <c r="B4" s="7">
        <v>46027</v>
      </c>
      <c r="C4" s="3" t="s">
        <v>136</v>
      </c>
      <c r="D4" s="3" t="s">
        <v>121</v>
      </c>
      <c r="E4" s="8" t="s">
        <v>32</v>
      </c>
      <c r="F4" s="3" t="s">
        <v>146</v>
      </c>
      <c r="G4" s="3">
        <v>5</v>
      </c>
      <c r="H4" s="25">
        <v>3200</v>
      </c>
      <c r="I4" s="25">
        <f t="shared" si="0"/>
        <v>16000</v>
      </c>
      <c r="J4" s="3" t="s">
        <v>21</v>
      </c>
    </row>
    <row r="5" spans="1:12" ht="14.25" customHeight="1" x14ac:dyDescent="0.3">
      <c r="A5" s="3" t="s">
        <v>28</v>
      </c>
      <c r="B5" s="7">
        <v>46029</v>
      </c>
      <c r="C5" s="3" t="s">
        <v>30</v>
      </c>
      <c r="D5" s="3" t="s">
        <v>115</v>
      </c>
      <c r="E5" s="8" t="s">
        <v>32</v>
      </c>
      <c r="F5" s="3" t="s">
        <v>14</v>
      </c>
      <c r="G5" s="3">
        <v>4</v>
      </c>
      <c r="H5" s="25">
        <v>7000</v>
      </c>
      <c r="I5" s="25">
        <f t="shared" si="0"/>
        <v>28000</v>
      </c>
      <c r="J5" s="3" t="s">
        <v>15</v>
      </c>
    </row>
    <row r="6" spans="1:12" ht="14.25" customHeight="1" x14ac:dyDescent="0.3">
      <c r="A6" s="3" t="s">
        <v>339</v>
      </c>
      <c r="B6" s="7">
        <v>46030</v>
      </c>
      <c r="C6" s="3" t="s">
        <v>341</v>
      </c>
      <c r="D6" s="3" t="s">
        <v>19</v>
      </c>
      <c r="E6" s="8" t="s">
        <v>93</v>
      </c>
      <c r="F6" s="3" t="s">
        <v>211</v>
      </c>
      <c r="G6" s="3">
        <v>1</v>
      </c>
      <c r="H6" s="25">
        <v>5500</v>
      </c>
      <c r="I6" s="25">
        <f t="shared" si="0"/>
        <v>5500</v>
      </c>
      <c r="J6" s="3" t="s">
        <v>21</v>
      </c>
    </row>
    <row r="7" spans="1:12" ht="14.25" customHeight="1" x14ac:dyDescent="0.3">
      <c r="A7" s="3" t="s">
        <v>336</v>
      </c>
      <c r="B7" s="7">
        <v>46032</v>
      </c>
      <c r="C7" s="3" t="s">
        <v>338</v>
      </c>
      <c r="D7" s="3" t="s">
        <v>121</v>
      </c>
      <c r="E7" s="8" t="s">
        <v>51</v>
      </c>
      <c r="F7" s="3" t="s">
        <v>81</v>
      </c>
      <c r="G7" s="3">
        <v>2</v>
      </c>
      <c r="H7" s="25">
        <v>3200</v>
      </c>
      <c r="I7" s="25">
        <f t="shared" si="0"/>
        <v>6400</v>
      </c>
      <c r="J7" s="3" t="s">
        <v>42</v>
      </c>
    </row>
    <row r="8" spans="1:12" ht="14.25" customHeight="1" x14ac:dyDescent="0.3">
      <c r="A8" s="3" t="s">
        <v>112</v>
      </c>
      <c r="B8" s="7">
        <v>46034</v>
      </c>
      <c r="C8" s="3" t="s">
        <v>114</v>
      </c>
      <c r="D8" s="3" t="s">
        <v>115</v>
      </c>
      <c r="E8" s="8" t="s">
        <v>32</v>
      </c>
      <c r="F8" s="3" t="s">
        <v>57</v>
      </c>
      <c r="G8" s="3">
        <v>1</v>
      </c>
      <c r="H8" s="25">
        <v>4000</v>
      </c>
      <c r="I8" s="25">
        <f t="shared" si="0"/>
        <v>4000</v>
      </c>
      <c r="J8" s="3" t="s">
        <v>15</v>
      </c>
    </row>
    <row r="9" spans="1:12" ht="14.25" customHeight="1" x14ac:dyDescent="0.3">
      <c r="A9" s="3" t="s">
        <v>198</v>
      </c>
      <c r="B9" s="7">
        <v>46034</v>
      </c>
      <c r="C9" s="3" t="s">
        <v>200</v>
      </c>
      <c r="D9" s="3" t="s">
        <v>150</v>
      </c>
      <c r="E9" s="8" t="s">
        <v>51</v>
      </c>
      <c r="F9" s="3" t="s">
        <v>52</v>
      </c>
      <c r="G9" s="3">
        <v>4</v>
      </c>
      <c r="H9" s="25">
        <v>9500</v>
      </c>
      <c r="I9" s="25">
        <f t="shared" si="0"/>
        <v>38000</v>
      </c>
      <c r="J9" s="3" t="s">
        <v>42</v>
      </c>
    </row>
    <row r="10" spans="1:12" ht="14.25" customHeight="1" x14ac:dyDescent="0.3">
      <c r="A10" s="3" t="s">
        <v>342</v>
      </c>
      <c r="B10" s="7">
        <v>46034</v>
      </c>
      <c r="C10" s="3" t="s">
        <v>343</v>
      </c>
      <c r="D10" s="3" t="s">
        <v>121</v>
      </c>
      <c r="E10" s="8" t="s">
        <v>93</v>
      </c>
      <c r="F10" s="3" t="s">
        <v>62</v>
      </c>
      <c r="G10" s="3">
        <v>4</v>
      </c>
      <c r="H10" s="25">
        <v>1500</v>
      </c>
      <c r="I10" s="25">
        <f t="shared" si="0"/>
        <v>6000</v>
      </c>
      <c r="J10" s="3" t="s">
        <v>15</v>
      </c>
    </row>
    <row r="11" spans="1:12" ht="14.25" customHeight="1" x14ac:dyDescent="0.3">
      <c r="A11" s="3" t="s">
        <v>98</v>
      </c>
      <c r="B11" s="7">
        <v>46035</v>
      </c>
      <c r="C11" s="3" t="s">
        <v>100</v>
      </c>
      <c r="D11" s="3" t="s">
        <v>19</v>
      </c>
      <c r="E11" s="8" t="s">
        <v>32</v>
      </c>
      <c r="F11" s="3" t="s">
        <v>20</v>
      </c>
      <c r="G11" s="3">
        <v>6</v>
      </c>
      <c r="H11" s="25">
        <v>3200</v>
      </c>
      <c r="I11" s="25">
        <f t="shared" si="0"/>
        <v>19200</v>
      </c>
      <c r="J11" s="3" t="s">
        <v>21</v>
      </c>
    </row>
    <row r="12" spans="1:12" ht="14.25" customHeight="1" x14ac:dyDescent="0.3">
      <c r="A12" s="3" t="s">
        <v>253</v>
      </c>
      <c r="B12" s="7">
        <v>46035</v>
      </c>
      <c r="C12" s="3" t="s">
        <v>255</v>
      </c>
      <c r="D12" s="3" t="s">
        <v>19</v>
      </c>
      <c r="E12" s="8" t="s">
        <v>51</v>
      </c>
      <c r="F12" s="3" t="s">
        <v>52</v>
      </c>
      <c r="G12" s="3">
        <v>6</v>
      </c>
      <c r="H12" s="25">
        <v>4000</v>
      </c>
      <c r="I12" s="25">
        <f t="shared" si="0"/>
        <v>24000</v>
      </c>
      <c r="J12" s="3" t="s">
        <v>21</v>
      </c>
    </row>
    <row r="13" spans="1:12" ht="14.25" customHeight="1" x14ac:dyDescent="0.3">
      <c r="A13" s="3" t="s">
        <v>297</v>
      </c>
      <c r="B13" s="7">
        <v>46035</v>
      </c>
      <c r="C13" s="3" t="s">
        <v>298</v>
      </c>
      <c r="D13" s="3" t="s">
        <v>19</v>
      </c>
      <c r="E13" s="8" t="s">
        <v>70</v>
      </c>
      <c r="F13" s="3" t="s">
        <v>215</v>
      </c>
      <c r="G13" s="3">
        <v>1</v>
      </c>
      <c r="H13" s="25">
        <v>2000</v>
      </c>
      <c r="I13" s="25">
        <f t="shared" si="0"/>
        <v>2000</v>
      </c>
      <c r="J13" s="3" t="s">
        <v>21</v>
      </c>
    </row>
    <row r="14" spans="1:12" ht="14.25" customHeight="1" x14ac:dyDescent="0.3">
      <c r="A14" s="3" t="s">
        <v>287</v>
      </c>
      <c r="B14" s="7">
        <v>46036</v>
      </c>
      <c r="C14" s="3" t="s">
        <v>289</v>
      </c>
      <c r="D14" s="3" t="s">
        <v>19</v>
      </c>
      <c r="E14" s="8" t="s">
        <v>51</v>
      </c>
      <c r="F14" s="3" t="s">
        <v>272</v>
      </c>
      <c r="G14" s="3">
        <v>6</v>
      </c>
      <c r="H14" s="25">
        <v>3200</v>
      </c>
      <c r="I14" s="25">
        <f t="shared" si="0"/>
        <v>19200</v>
      </c>
      <c r="J14" s="3" t="s">
        <v>42</v>
      </c>
    </row>
    <row r="15" spans="1:12" ht="14.25" customHeight="1" x14ac:dyDescent="0.3">
      <c r="A15" s="3" t="s">
        <v>320</v>
      </c>
      <c r="B15" s="7">
        <v>46036</v>
      </c>
      <c r="C15" s="3" t="s">
        <v>233</v>
      </c>
      <c r="D15" s="3" t="s">
        <v>19</v>
      </c>
      <c r="E15" s="8" t="s">
        <v>32</v>
      </c>
      <c r="F15" s="3" t="s">
        <v>146</v>
      </c>
      <c r="G15" s="3">
        <v>4</v>
      </c>
      <c r="H15" s="25">
        <v>12000</v>
      </c>
      <c r="I15" s="25">
        <f t="shared" si="0"/>
        <v>48000</v>
      </c>
      <c r="J15" s="3" t="s">
        <v>15</v>
      </c>
    </row>
    <row r="16" spans="1:12" ht="14.25" customHeight="1" x14ac:dyDescent="0.3">
      <c r="A16" s="3" t="s">
        <v>383</v>
      </c>
      <c r="B16" s="7">
        <v>46036</v>
      </c>
      <c r="C16" s="3" t="s">
        <v>341</v>
      </c>
      <c r="D16" s="3" t="s">
        <v>115</v>
      </c>
      <c r="E16" s="8" t="s">
        <v>70</v>
      </c>
      <c r="F16" s="3" t="s">
        <v>71</v>
      </c>
      <c r="G16" s="3">
        <v>3</v>
      </c>
      <c r="H16" s="25">
        <v>7000</v>
      </c>
      <c r="I16" s="25">
        <f t="shared" si="0"/>
        <v>21000</v>
      </c>
      <c r="J16" s="3" t="s">
        <v>42</v>
      </c>
    </row>
    <row r="17" spans="1:10" ht="14.25" customHeight="1" x14ac:dyDescent="0.3">
      <c r="A17" s="3" t="s">
        <v>403</v>
      </c>
      <c r="B17" s="7">
        <v>46039</v>
      </c>
      <c r="C17" s="3" t="s">
        <v>142</v>
      </c>
      <c r="D17" s="3" t="s">
        <v>19</v>
      </c>
      <c r="E17" s="8" t="s">
        <v>70</v>
      </c>
      <c r="F17" s="3" t="s">
        <v>76</v>
      </c>
      <c r="G17" s="3">
        <v>7</v>
      </c>
      <c r="H17" s="25">
        <v>9500</v>
      </c>
      <c r="I17" s="25">
        <f t="shared" si="0"/>
        <v>66500</v>
      </c>
      <c r="J17" s="3" t="s">
        <v>21</v>
      </c>
    </row>
    <row r="18" spans="1:10" ht="14.25" customHeight="1" x14ac:dyDescent="0.3">
      <c r="A18" s="3" t="s">
        <v>222</v>
      </c>
      <c r="B18" s="7">
        <v>46041</v>
      </c>
      <c r="C18" s="3" t="s">
        <v>218</v>
      </c>
      <c r="D18" s="3" t="s">
        <v>121</v>
      </c>
      <c r="E18" s="8" t="s">
        <v>32</v>
      </c>
      <c r="F18" s="3" t="s">
        <v>224</v>
      </c>
      <c r="G18" s="3">
        <v>2</v>
      </c>
      <c r="H18" s="25">
        <v>5500</v>
      </c>
      <c r="I18" s="25">
        <f t="shared" si="0"/>
        <v>11000</v>
      </c>
      <c r="J18" s="3" t="s">
        <v>42</v>
      </c>
    </row>
    <row r="19" spans="1:10" ht="14.25" customHeight="1" x14ac:dyDescent="0.3">
      <c r="A19" s="3" t="s">
        <v>123</v>
      </c>
      <c r="B19" s="7">
        <v>46043</v>
      </c>
      <c r="C19" s="3" t="s">
        <v>125</v>
      </c>
      <c r="D19" s="3" t="s">
        <v>115</v>
      </c>
      <c r="E19" s="8" t="s">
        <v>70</v>
      </c>
      <c r="F19" s="3" t="s">
        <v>76</v>
      </c>
      <c r="G19" s="3">
        <v>3</v>
      </c>
      <c r="H19" s="25">
        <v>2500</v>
      </c>
      <c r="I19" s="25">
        <f t="shared" si="0"/>
        <v>7500</v>
      </c>
      <c r="J19" s="3" t="s">
        <v>21</v>
      </c>
    </row>
    <row r="20" spans="1:10" ht="14.25" customHeight="1" x14ac:dyDescent="0.3">
      <c r="A20" s="3" t="s">
        <v>129</v>
      </c>
      <c r="B20" s="7">
        <v>46045</v>
      </c>
      <c r="C20" s="3" t="s">
        <v>131</v>
      </c>
      <c r="D20" s="3" t="s">
        <v>121</v>
      </c>
      <c r="E20" s="8" t="s">
        <v>51</v>
      </c>
      <c r="F20" s="3" t="s">
        <v>133</v>
      </c>
      <c r="G20" s="3">
        <v>2</v>
      </c>
      <c r="H20" s="25">
        <v>4000</v>
      </c>
      <c r="I20" s="25">
        <f t="shared" si="0"/>
        <v>8000</v>
      </c>
      <c r="J20" s="3" t="s">
        <v>15</v>
      </c>
    </row>
    <row r="21" spans="1:10" ht="14.25" customHeight="1" x14ac:dyDescent="0.3">
      <c r="A21" s="3" t="s">
        <v>140</v>
      </c>
      <c r="B21" s="7">
        <v>46046</v>
      </c>
      <c r="C21" s="3" t="s">
        <v>142</v>
      </c>
      <c r="D21" s="3" t="s">
        <v>115</v>
      </c>
      <c r="E21" s="8" t="s">
        <v>51</v>
      </c>
      <c r="F21" s="3" t="s">
        <v>52</v>
      </c>
      <c r="G21" s="3">
        <v>2</v>
      </c>
      <c r="H21" s="25">
        <v>2000</v>
      </c>
      <c r="I21" s="25">
        <f t="shared" si="0"/>
        <v>4000</v>
      </c>
      <c r="J21" s="3" t="s">
        <v>15</v>
      </c>
    </row>
    <row r="22" spans="1:10" ht="14.25" customHeight="1" x14ac:dyDescent="0.3">
      <c r="A22" s="3" t="s">
        <v>405</v>
      </c>
      <c r="B22" s="7">
        <v>46046</v>
      </c>
      <c r="C22" s="3" t="s">
        <v>266</v>
      </c>
      <c r="D22" s="3" t="s">
        <v>115</v>
      </c>
      <c r="E22" s="8" t="s">
        <v>32</v>
      </c>
      <c r="F22" s="3" t="s">
        <v>146</v>
      </c>
      <c r="G22" s="3">
        <v>4</v>
      </c>
      <c r="H22" s="25">
        <v>15000</v>
      </c>
      <c r="I22" s="25">
        <f t="shared" si="0"/>
        <v>60000</v>
      </c>
      <c r="J22" s="3" t="s">
        <v>42</v>
      </c>
    </row>
    <row r="23" spans="1:10" ht="14.25" customHeight="1" x14ac:dyDescent="0.3">
      <c r="A23" s="3" t="s">
        <v>207</v>
      </c>
      <c r="B23" s="7">
        <v>46048</v>
      </c>
      <c r="C23" s="3" t="s">
        <v>209</v>
      </c>
      <c r="D23" s="3" t="s">
        <v>19</v>
      </c>
      <c r="E23" s="8" t="s">
        <v>93</v>
      </c>
      <c r="F23" s="3" t="s">
        <v>211</v>
      </c>
      <c r="G23" s="3">
        <v>2</v>
      </c>
      <c r="H23" s="25">
        <v>12000</v>
      </c>
      <c r="I23" s="25">
        <f t="shared" si="0"/>
        <v>24000</v>
      </c>
      <c r="J23" s="3" t="s">
        <v>21</v>
      </c>
    </row>
    <row r="24" spans="1:10" ht="14.25" customHeight="1" x14ac:dyDescent="0.3">
      <c r="A24" s="3" t="s">
        <v>234</v>
      </c>
      <c r="B24" s="7">
        <v>46052</v>
      </c>
      <c r="C24" s="3" t="s">
        <v>203</v>
      </c>
      <c r="D24" s="3" t="s">
        <v>115</v>
      </c>
      <c r="E24" s="8" t="s">
        <v>70</v>
      </c>
      <c r="F24" s="3" t="s">
        <v>122</v>
      </c>
      <c r="G24" s="3">
        <v>4</v>
      </c>
      <c r="H24" s="25">
        <v>2500</v>
      </c>
      <c r="I24" s="25">
        <f t="shared" si="0"/>
        <v>10000</v>
      </c>
      <c r="J24" s="3" t="s">
        <v>15</v>
      </c>
    </row>
    <row r="25" spans="1:10" ht="14.25" customHeight="1" x14ac:dyDescent="0.3">
      <c r="A25" s="3" t="s">
        <v>58</v>
      </c>
      <c r="B25" s="7">
        <v>46055</v>
      </c>
      <c r="C25" s="3" t="s">
        <v>60</v>
      </c>
      <c r="D25" s="3" t="s">
        <v>121</v>
      </c>
      <c r="E25" s="8" t="s">
        <v>93</v>
      </c>
      <c r="F25" s="3" t="s">
        <v>62</v>
      </c>
      <c r="G25" s="3">
        <v>8</v>
      </c>
      <c r="H25" s="25">
        <v>12000</v>
      </c>
      <c r="I25" s="25">
        <f t="shared" si="0"/>
        <v>96000</v>
      </c>
      <c r="J25" s="3" t="s">
        <v>21</v>
      </c>
    </row>
    <row r="26" spans="1:10" ht="14.25" customHeight="1" x14ac:dyDescent="0.3">
      <c r="A26" s="3" t="s">
        <v>155</v>
      </c>
      <c r="B26" s="7">
        <v>46055</v>
      </c>
      <c r="C26" s="3" t="s">
        <v>156</v>
      </c>
      <c r="D26" s="3" t="s">
        <v>19</v>
      </c>
      <c r="E26" s="8" t="s">
        <v>70</v>
      </c>
      <c r="F26" s="3" t="s">
        <v>122</v>
      </c>
      <c r="G26" s="3">
        <v>8</v>
      </c>
      <c r="H26" s="25">
        <v>2000</v>
      </c>
      <c r="I26" s="25">
        <f t="shared" si="0"/>
        <v>16000</v>
      </c>
      <c r="J26" s="3" t="s">
        <v>42</v>
      </c>
    </row>
    <row r="27" spans="1:10" ht="14.25" customHeight="1" x14ac:dyDescent="0.3">
      <c r="A27" s="3" t="s">
        <v>90</v>
      </c>
      <c r="B27" s="7">
        <v>46058</v>
      </c>
      <c r="C27" s="3" t="s">
        <v>30</v>
      </c>
      <c r="D27" s="3" t="s">
        <v>19</v>
      </c>
      <c r="E27" s="8" t="s">
        <v>93</v>
      </c>
      <c r="F27" s="3" t="s">
        <v>94</v>
      </c>
      <c r="G27" s="3">
        <v>2</v>
      </c>
      <c r="H27" s="25">
        <v>12000</v>
      </c>
      <c r="I27" s="25">
        <f t="shared" si="0"/>
        <v>24000</v>
      </c>
      <c r="J27" s="3" t="s">
        <v>21</v>
      </c>
    </row>
    <row r="28" spans="1:10" ht="14.25" customHeight="1" x14ac:dyDescent="0.3">
      <c r="A28" s="3" t="s">
        <v>157</v>
      </c>
      <c r="B28" s="7">
        <v>46062</v>
      </c>
      <c r="C28" s="3" t="s">
        <v>328</v>
      </c>
      <c r="D28" s="3" t="s">
        <v>115</v>
      </c>
      <c r="E28" s="8" t="s">
        <v>32</v>
      </c>
      <c r="F28" s="3" t="s">
        <v>146</v>
      </c>
      <c r="G28" s="3">
        <v>7</v>
      </c>
      <c r="H28" s="25">
        <v>2000</v>
      </c>
      <c r="I28" s="25">
        <f t="shared" si="0"/>
        <v>14000</v>
      </c>
      <c r="J28" s="3" t="s">
        <v>15</v>
      </c>
    </row>
    <row r="29" spans="1:10" ht="14.25" customHeight="1" x14ac:dyDescent="0.3">
      <c r="A29" s="3" t="s">
        <v>360</v>
      </c>
      <c r="B29" s="7">
        <v>46066</v>
      </c>
      <c r="C29" s="3" t="s">
        <v>362</v>
      </c>
      <c r="D29" s="3" t="s">
        <v>121</v>
      </c>
      <c r="E29" s="8" t="s">
        <v>32</v>
      </c>
      <c r="F29" s="3" t="s">
        <v>20</v>
      </c>
      <c r="G29" s="3">
        <v>2</v>
      </c>
      <c r="H29" s="25">
        <v>4000</v>
      </c>
      <c r="I29" s="25">
        <f t="shared" si="0"/>
        <v>8000</v>
      </c>
      <c r="J29" s="3" t="s">
        <v>42</v>
      </c>
    </row>
    <row r="30" spans="1:10" ht="14.25" customHeight="1" x14ac:dyDescent="0.3">
      <c r="A30" s="3" t="s">
        <v>33</v>
      </c>
      <c r="B30" s="7">
        <v>46068</v>
      </c>
      <c r="C30" s="3" t="s">
        <v>35</v>
      </c>
      <c r="D30" s="3" t="s">
        <v>115</v>
      </c>
      <c r="E30" s="8" t="s">
        <v>40</v>
      </c>
      <c r="F30" s="3" t="s">
        <v>27</v>
      </c>
      <c r="G30" s="3">
        <v>5</v>
      </c>
      <c r="H30" s="25">
        <v>1500</v>
      </c>
      <c r="I30" s="25">
        <f t="shared" si="0"/>
        <v>7500</v>
      </c>
      <c r="J30" s="3" t="s">
        <v>21</v>
      </c>
    </row>
    <row r="31" spans="1:10" ht="14.25" customHeight="1" x14ac:dyDescent="0.3">
      <c r="A31" s="3" t="s">
        <v>323</v>
      </c>
      <c r="B31" s="7">
        <v>46068</v>
      </c>
      <c r="C31" s="3" t="s">
        <v>325</v>
      </c>
      <c r="D31" s="3" t="s">
        <v>121</v>
      </c>
      <c r="E31" s="8" t="s">
        <v>70</v>
      </c>
      <c r="F31" s="3" t="s">
        <v>71</v>
      </c>
      <c r="G31" s="3">
        <v>2</v>
      </c>
      <c r="H31" s="25">
        <v>4000</v>
      </c>
      <c r="I31" s="25">
        <f t="shared" si="0"/>
        <v>8000</v>
      </c>
      <c r="J31" s="3" t="s">
        <v>42</v>
      </c>
    </row>
    <row r="32" spans="1:10" ht="14.25" customHeight="1" x14ac:dyDescent="0.3">
      <c r="A32" s="3" t="s">
        <v>264</v>
      </c>
      <c r="B32" s="7">
        <v>46069</v>
      </c>
      <c r="C32" s="3" t="s">
        <v>266</v>
      </c>
      <c r="D32" s="3" t="s">
        <v>19</v>
      </c>
      <c r="E32" s="8" t="s">
        <v>40</v>
      </c>
      <c r="F32" s="3" t="s">
        <v>151</v>
      </c>
      <c r="G32" s="3">
        <v>5</v>
      </c>
      <c r="H32" s="25">
        <v>4000</v>
      </c>
      <c r="I32" s="25">
        <f t="shared" si="0"/>
        <v>20000</v>
      </c>
      <c r="J32" s="3" t="s">
        <v>15</v>
      </c>
    </row>
    <row r="33" spans="1:10" ht="14.25" customHeight="1" x14ac:dyDescent="0.3">
      <c r="A33" s="3" t="s">
        <v>321</v>
      </c>
      <c r="B33" s="7">
        <v>46069</v>
      </c>
      <c r="C33" s="3" t="s">
        <v>69</v>
      </c>
      <c r="D33" s="3" t="s">
        <v>115</v>
      </c>
      <c r="E33" s="8" t="s">
        <v>32</v>
      </c>
      <c r="F33" s="3" t="s">
        <v>224</v>
      </c>
      <c r="G33" s="3">
        <v>8</v>
      </c>
      <c r="H33" s="25">
        <v>3200</v>
      </c>
      <c r="I33" s="25">
        <f t="shared" si="0"/>
        <v>25600</v>
      </c>
      <c r="J33" s="3" t="s">
        <v>15</v>
      </c>
    </row>
    <row r="34" spans="1:10" ht="14.25" customHeight="1" x14ac:dyDescent="0.3">
      <c r="A34" s="3" t="s">
        <v>315</v>
      </c>
      <c r="B34" s="7">
        <v>46075</v>
      </c>
      <c r="C34" s="3" t="s">
        <v>438</v>
      </c>
      <c r="D34" s="3" t="s">
        <v>121</v>
      </c>
      <c r="E34" s="8" t="s">
        <v>70</v>
      </c>
      <c r="F34" s="3" t="s">
        <v>122</v>
      </c>
      <c r="G34" s="3">
        <v>5</v>
      </c>
      <c r="H34" s="25">
        <v>3200</v>
      </c>
      <c r="I34" s="25">
        <f t="shared" ref="I34:I65" si="1">G34*H34</f>
        <v>16000</v>
      </c>
      <c r="J34" s="3" t="s">
        <v>21</v>
      </c>
    </row>
    <row r="35" spans="1:10" ht="14.25" customHeight="1" x14ac:dyDescent="0.3">
      <c r="A35" s="3" t="s">
        <v>413</v>
      </c>
      <c r="B35" s="7">
        <v>46076</v>
      </c>
      <c r="C35" s="3" t="s">
        <v>145</v>
      </c>
      <c r="D35" s="3" t="s">
        <v>150</v>
      </c>
      <c r="E35" s="8" t="s">
        <v>40</v>
      </c>
      <c r="F35" s="3" t="s">
        <v>111</v>
      </c>
      <c r="G35" s="3">
        <v>6</v>
      </c>
      <c r="H35" s="25">
        <v>3200</v>
      </c>
      <c r="I35" s="25">
        <f t="shared" si="1"/>
        <v>19200</v>
      </c>
      <c r="J35" s="3" t="s">
        <v>42</v>
      </c>
    </row>
    <row r="36" spans="1:10" ht="14.25" customHeight="1" x14ac:dyDescent="0.3">
      <c r="A36" s="3" t="s">
        <v>170</v>
      </c>
      <c r="B36" s="7">
        <v>46079</v>
      </c>
      <c r="C36" s="3" t="s">
        <v>172</v>
      </c>
      <c r="D36" s="3" t="s">
        <v>121</v>
      </c>
      <c r="E36" s="8" t="s">
        <v>40</v>
      </c>
      <c r="F36" s="3" t="s">
        <v>151</v>
      </c>
      <c r="G36" s="3">
        <v>3</v>
      </c>
      <c r="H36" s="25">
        <v>12000</v>
      </c>
      <c r="I36" s="25">
        <f t="shared" si="1"/>
        <v>36000</v>
      </c>
      <c r="J36" s="3" t="s">
        <v>15</v>
      </c>
    </row>
    <row r="37" spans="1:10" ht="14.25" customHeight="1" x14ac:dyDescent="0.3">
      <c r="A37" s="3" t="s">
        <v>435</v>
      </c>
      <c r="B37" s="7">
        <v>46079</v>
      </c>
      <c r="C37" s="3" t="s">
        <v>436</v>
      </c>
      <c r="D37" s="3" t="s">
        <v>121</v>
      </c>
      <c r="E37" s="8" t="s">
        <v>32</v>
      </c>
      <c r="F37" s="3" t="s">
        <v>146</v>
      </c>
      <c r="G37" s="3">
        <v>8</v>
      </c>
      <c r="H37" s="25">
        <v>3200</v>
      </c>
      <c r="I37" s="25">
        <f t="shared" si="1"/>
        <v>25600</v>
      </c>
      <c r="J37" s="3" t="s">
        <v>15</v>
      </c>
    </row>
    <row r="38" spans="1:10" ht="14.25" customHeight="1" x14ac:dyDescent="0.3">
      <c r="A38" s="3" t="s">
        <v>281</v>
      </c>
      <c r="B38" s="7">
        <v>46081</v>
      </c>
      <c r="C38" s="3" t="s">
        <v>439</v>
      </c>
      <c r="D38" s="3" t="s">
        <v>150</v>
      </c>
      <c r="E38" s="8" t="s">
        <v>32</v>
      </c>
      <c r="F38" s="3" t="s">
        <v>20</v>
      </c>
      <c r="G38" s="3">
        <v>6</v>
      </c>
      <c r="H38" s="25">
        <v>2000</v>
      </c>
      <c r="I38" s="25">
        <f t="shared" si="1"/>
        <v>12000</v>
      </c>
      <c r="J38" s="3" t="s">
        <v>15</v>
      </c>
    </row>
    <row r="39" spans="1:10" ht="14.25" customHeight="1" x14ac:dyDescent="0.3">
      <c r="A39" s="3" t="s">
        <v>368</v>
      </c>
      <c r="B39" s="7">
        <v>46081</v>
      </c>
      <c r="C39" s="3" t="s">
        <v>370</v>
      </c>
      <c r="D39" s="3" t="s">
        <v>150</v>
      </c>
      <c r="E39" s="8" t="s">
        <v>40</v>
      </c>
      <c r="F39" s="3" t="s">
        <v>27</v>
      </c>
      <c r="G39" s="3">
        <v>2</v>
      </c>
      <c r="H39" s="25">
        <v>1500</v>
      </c>
      <c r="I39" s="25">
        <f t="shared" si="1"/>
        <v>3000</v>
      </c>
      <c r="J39" s="3" t="s">
        <v>15</v>
      </c>
    </row>
    <row r="40" spans="1:10" ht="14.25" customHeight="1" x14ac:dyDescent="0.3">
      <c r="A40" s="3" t="s">
        <v>346</v>
      </c>
      <c r="B40" s="7">
        <v>46083</v>
      </c>
      <c r="C40" s="3" t="s">
        <v>348</v>
      </c>
      <c r="D40" s="3" t="s">
        <v>150</v>
      </c>
      <c r="E40" s="8" t="s">
        <v>40</v>
      </c>
      <c r="F40" s="3" t="s">
        <v>111</v>
      </c>
      <c r="G40" s="3">
        <v>2</v>
      </c>
      <c r="H40" s="25">
        <v>4000</v>
      </c>
      <c r="I40" s="25">
        <f t="shared" si="1"/>
        <v>8000</v>
      </c>
      <c r="J40" s="3" t="s">
        <v>42</v>
      </c>
    </row>
    <row r="41" spans="1:10" ht="14.25" customHeight="1" x14ac:dyDescent="0.3">
      <c r="A41" s="3" t="s">
        <v>228</v>
      </c>
      <c r="B41" s="7">
        <v>46084</v>
      </c>
      <c r="C41" s="3" t="s">
        <v>230</v>
      </c>
      <c r="D41" s="3" t="s">
        <v>115</v>
      </c>
      <c r="E41" s="8" t="s">
        <v>40</v>
      </c>
      <c r="F41" s="3" t="s">
        <v>111</v>
      </c>
      <c r="G41" s="3">
        <v>5</v>
      </c>
      <c r="H41" s="25">
        <v>7000</v>
      </c>
      <c r="I41" s="25">
        <f t="shared" si="1"/>
        <v>35000</v>
      </c>
      <c r="J41" s="3" t="s">
        <v>21</v>
      </c>
    </row>
    <row r="42" spans="1:10" ht="14.25" customHeight="1" x14ac:dyDescent="0.3">
      <c r="A42" s="3" t="s">
        <v>293</v>
      </c>
      <c r="B42" s="7">
        <v>46084</v>
      </c>
      <c r="C42" s="3" t="s">
        <v>294</v>
      </c>
      <c r="D42" s="3" t="s">
        <v>19</v>
      </c>
      <c r="E42" s="8" t="s">
        <v>51</v>
      </c>
      <c r="F42" s="3" t="s">
        <v>133</v>
      </c>
      <c r="G42" s="3">
        <v>7</v>
      </c>
      <c r="H42" s="25">
        <v>9500</v>
      </c>
      <c r="I42" s="25">
        <f t="shared" si="1"/>
        <v>66500</v>
      </c>
      <c r="J42" s="3" t="s">
        <v>42</v>
      </c>
    </row>
    <row r="43" spans="1:10" ht="14.25" customHeight="1" x14ac:dyDescent="0.3">
      <c r="A43" s="3" t="s">
        <v>419</v>
      </c>
      <c r="B43" s="7">
        <v>46084</v>
      </c>
      <c r="C43" s="3" t="s">
        <v>421</v>
      </c>
      <c r="D43" s="3" t="s">
        <v>121</v>
      </c>
      <c r="E43" s="8" t="s">
        <v>51</v>
      </c>
      <c r="F43" s="3" t="s">
        <v>182</v>
      </c>
      <c r="G43" s="3">
        <v>7</v>
      </c>
      <c r="H43" s="25">
        <v>2500</v>
      </c>
      <c r="I43" s="25">
        <f t="shared" si="1"/>
        <v>17500</v>
      </c>
      <c r="J43" s="3" t="s">
        <v>42</v>
      </c>
    </row>
    <row r="44" spans="1:10" ht="14.25" customHeight="1" x14ac:dyDescent="0.3">
      <c r="A44" s="3" t="s">
        <v>147</v>
      </c>
      <c r="B44" s="7">
        <v>46085</v>
      </c>
      <c r="C44" s="3" t="s">
        <v>149</v>
      </c>
      <c r="D44" s="3" t="s">
        <v>150</v>
      </c>
      <c r="E44" s="8" t="s">
        <v>40</v>
      </c>
      <c r="F44" s="3" t="s">
        <v>151</v>
      </c>
      <c r="G44" s="3">
        <v>8</v>
      </c>
      <c r="H44" s="25">
        <v>7000</v>
      </c>
      <c r="I44" s="25">
        <f t="shared" si="1"/>
        <v>56000</v>
      </c>
      <c r="J44" s="3" t="s">
        <v>21</v>
      </c>
    </row>
    <row r="45" spans="1:10" ht="14.25" customHeight="1" x14ac:dyDescent="0.3">
      <c r="A45" s="3" t="s">
        <v>422</v>
      </c>
      <c r="B45" s="7">
        <v>46085</v>
      </c>
      <c r="C45" s="3" t="s">
        <v>440</v>
      </c>
      <c r="D45" s="3" t="s">
        <v>115</v>
      </c>
      <c r="E45" s="8" t="s">
        <v>40</v>
      </c>
      <c r="F45" s="3" t="s">
        <v>111</v>
      </c>
      <c r="G45" s="3">
        <v>4</v>
      </c>
      <c r="H45" s="25">
        <v>2000</v>
      </c>
      <c r="I45" s="25">
        <f t="shared" si="1"/>
        <v>8000</v>
      </c>
      <c r="J45" s="3" t="s">
        <v>21</v>
      </c>
    </row>
    <row r="46" spans="1:10" ht="14.25" customHeight="1" x14ac:dyDescent="0.3">
      <c r="A46" s="3" t="s">
        <v>183</v>
      </c>
      <c r="B46" s="7">
        <v>46088</v>
      </c>
      <c r="C46" s="3" t="s">
        <v>441</v>
      </c>
      <c r="D46" s="3" t="s">
        <v>19</v>
      </c>
      <c r="E46" s="8" t="s">
        <v>40</v>
      </c>
      <c r="F46" s="3" t="s">
        <v>41</v>
      </c>
      <c r="G46" s="3">
        <v>1</v>
      </c>
      <c r="H46" s="25">
        <v>7000</v>
      </c>
      <c r="I46" s="25">
        <f t="shared" si="1"/>
        <v>7000</v>
      </c>
      <c r="J46" s="3" t="s">
        <v>21</v>
      </c>
    </row>
    <row r="47" spans="1:10" ht="14.25" customHeight="1" x14ac:dyDescent="0.3">
      <c r="A47" s="3" t="s">
        <v>363</v>
      </c>
      <c r="B47" s="7">
        <v>46090</v>
      </c>
      <c r="C47" s="3" t="s">
        <v>365</v>
      </c>
      <c r="D47" s="3" t="s">
        <v>150</v>
      </c>
      <c r="E47" s="8" t="s">
        <v>93</v>
      </c>
      <c r="F47" s="3" t="s">
        <v>211</v>
      </c>
      <c r="G47" s="3">
        <v>8</v>
      </c>
      <c r="H47" s="25">
        <v>4000</v>
      </c>
      <c r="I47" s="25">
        <f t="shared" si="1"/>
        <v>32000</v>
      </c>
      <c r="J47" s="3" t="s">
        <v>15</v>
      </c>
    </row>
    <row r="48" spans="1:10" ht="14.25" customHeight="1" x14ac:dyDescent="0.3">
      <c r="A48" s="3" t="s">
        <v>428</v>
      </c>
      <c r="B48" s="7">
        <v>46091</v>
      </c>
      <c r="C48" s="3" t="s">
        <v>328</v>
      </c>
      <c r="D48" s="3" t="s">
        <v>121</v>
      </c>
      <c r="E48" s="8" t="s">
        <v>40</v>
      </c>
      <c r="F48" s="3" t="s">
        <v>41</v>
      </c>
      <c r="G48" s="3">
        <v>6</v>
      </c>
      <c r="H48" s="25">
        <v>3200</v>
      </c>
      <c r="I48" s="25">
        <f t="shared" si="1"/>
        <v>19200</v>
      </c>
      <c r="J48" s="3" t="s">
        <v>21</v>
      </c>
    </row>
    <row r="49" spans="1:10" ht="14.25" customHeight="1" x14ac:dyDescent="0.3">
      <c r="A49" s="3" t="s">
        <v>377</v>
      </c>
      <c r="B49" s="7">
        <v>46093</v>
      </c>
      <c r="C49" s="3" t="s">
        <v>379</v>
      </c>
      <c r="D49" s="3" t="s">
        <v>19</v>
      </c>
      <c r="E49" s="8" t="s">
        <v>32</v>
      </c>
      <c r="F49" s="3" t="s">
        <v>14</v>
      </c>
      <c r="G49" s="3">
        <v>1</v>
      </c>
      <c r="H49" s="25">
        <v>2000</v>
      </c>
      <c r="I49" s="25">
        <f t="shared" si="1"/>
        <v>2000</v>
      </c>
      <c r="J49" s="3" t="s">
        <v>42</v>
      </c>
    </row>
    <row r="50" spans="1:10" ht="14.25" customHeight="1" x14ac:dyDescent="0.3">
      <c r="A50" s="3" t="s">
        <v>77</v>
      </c>
      <c r="B50" s="7">
        <v>46096</v>
      </c>
      <c r="C50" s="3" t="s">
        <v>79</v>
      </c>
      <c r="D50" s="3" t="s">
        <v>121</v>
      </c>
      <c r="E50" s="8" t="s">
        <v>51</v>
      </c>
      <c r="F50" s="3" t="s">
        <v>81</v>
      </c>
      <c r="G50" s="3">
        <v>3</v>
      </c>
      <c r="H50" s="25">
        <v>2000</v>
      </c>
      <c r="I50" s="25">
        <f t="shared" si="1"/>
        <v>6000</v>
      </c>
      <c r="J50" s="3" t="s">
        <v>15</v>
      </c>
    </row>
    <row r="51" spans="1:10" ht="14.25" customHeight="1" x14ac:dyDescent="0.3">
      <c r="A51" s="3" t="s">
        <v>244</v>
      </c>
      <c r="B51" s="7">
        <v>46097</v>
      </c>
      <c r="C51" s="3" t="s">
        <v>246</v>
      </c>
      <c r="D51" s="3" t="s">
        <v>121</v>
      </c>
      <c r="E51" s="8" t="s">
        <v>93</v>
      </c>
      <c r="F51" s="3" t="s">
        <v>211</v>
      </c>
      <c r="G51" s="3">
        <v>1</v>
      </c>
      <c r="H51" s="25">
        <v>3200</v>
      </c>
      <c r="I51" s="25">
        <f t="shared" si="1"/>
        <v>3200</v>
      </c>
      <c r="J51" s="3" t="s">
        <v>15</v>
      </c>
    </row>
    <row r="52" spans="1:10" ht="14.25" customHeight="1" x14ac:dyDescent="0.3">
      <c r="A52" s="3" t="s">
        <v>247</v>
      </c>
      <c r="B52" s="7">
        <v>46097</v>
      </c>
      <c r="C52" s="3" t="s">
        <v>249</v>
      </c>
      <c r="D52" s="3" t="s">
        <v>121</v>
      </c>
      <c r="E52" s="8" t="s">
        <v>93</v>
      </c>
      <c r="F52" s="3" t="s">
        <v>62</v>
      </c>
      <c r="G52" s="3">
        <v>5</v>
      </c>
      <c r="H52" s="25">
        <v>7000</v>
      </c>
      <c r="I52" s="25">
        <f t="shared" si="1"/>
        <v>35000</v>
      </c>
      <c r="J52" s="3" t="s">
        <v>15</v>
      </c>
    </row>
    <row r="53" spans="1:10" ht="14.25" customHeight="1" x14ac:dyDescent="0.3">
      <c r="A53" s="3" t="s">
        <v>411</v>
      </c>
      <c r="B53" s="7">
        <v>46097</v>
      </c>
      <c r="C53" s="3" t="s">
        <v>412</v>
      </c>
      <c r="D53" s="3" t="s">
        <v>121</v>
      </c>
      <c r="E53" s="8" t="s">
        <v>51</v>
      </c>
      <c r="F53" s="3" t="s">
        <v>133</v>
      </c>
      <c r="G53" s="3">
        <v>2</v>
      </c>
      <c r="H53" s="25">
        <v>7000</v>
      </c>
      <c r="I53" s="25">
        <f t="shared" si="1"/>
        <v>14000</v>
      </c>
      <c r="J53" s="3" t="s">
        <v>21</v>
      </c>
    </row>
    <row r="54" spans="1:10" ht="14.25" customHeight="1" x14ac:dyDescent="0.3">
      <c r="A54" s="3" t="s">
        <v>37</v>
      </c>
      <c r="B54" s="7">
        <v>46098</v>
      </c>
      <c r="C54" s="3" t="s">
        <v>442</v>
      </c>
      <c r="D54" s="3" t="s">
        <v>115</v>
      </c>
      <c r="E54" s="8" t="s">
        <v>40</v>
      </c>
      <c r="F54" s="3" t="s">
        <v>41</v>
      </c>
      <c r="G54" s="3">
        <v>8</v>
      </c>
      <c r="H54" s="25">
        <v>12000</v>
      </c>
      <c r="I54" s="25">
        <f t="shared" si="1"/>
        <v>96000</v>
      </c>
      <c r="J54" s="3" t="s">
        <v>42</v>
      </c>
    </row>
    <row r="55" spans="1:10" ht="14.25" customHeight="1" x14ac:dyDescent="0.3">
      <c r="A55" s="3" t="s">
        <v>48</v>
      </c>
      <c r="B55" s="7">
        <v>46100</v>
      </c>
      <c r="C55" s="3" t="s">
        <v>50</v>
      </c>
      <c r="D55" s="3" t="s">
        <v>115</v>
      </c>
      <c r="E55" s="8" t="s">
        <v>51</v>
      </c>
      <c r="F55" s="3" t="s">
        <v>52</v>
      </c>
      <c r="G55" s="3">
        <v>1</v>
      </c>
      <c r="H55" s="25">
        <v>12000</v>
      </c>
      <c r="I55" s="25">
        <f t="shared" si="1"/>
        <v>12000</v>
      </c>
      <c r="J55" s="3" t="s">
        <v>15</v>
      </c>
    </row>
    <row r="56" spans="1:10" ht="14.25" customHeight="1" x14ac:dyDescent="0.3">
      <c r="A56" s="3" t="s">
        <v>173</v>
      </c>
      <c r="B56" s="7">
        <v>46101</v>
      </c>
      <c r="C56" s="3" t="s">
        <v>443</v>
      </c>
      <c r="D56" s="3" t="s">
        <v>115</v>
      </c>
      <c r="E56" s="8" t="s">
        <v>40</v>
      </c>
      <c r="F56" s="3" t="s">
        <v>111</v>
      </c>
      <c r="G56" s="3">
        <v>5</v>
      </c>
      <c r="H56" s="25">
        <v>3200</v>
      </c>
      <c r="I56" s="25">
        <f t="shared" si="1"/>
        <v>16000</v>
      </c>
      <c r="J56" s="3" t="s">
        <v>21</v>
      </c>
    </row>
    <row r="57" spans="1:10" ht="14.25" customHeight="1" x14ac:dyDescent="0.3">
      <c r="A57" s="3" t="s">
        <v>195</v>
      </c>
      <c r="B57" s="7">
        <v>46102</v>
      </c>
      <c r="C57" s="3" t="s">
        <v>444</v>
      </c>
      <c r="D57" s="3" t="s">
        <v>115</v>
      </c>
      <c r="E57" s="8" t="s">
        <v>51</v>
      </c>
      <c r="F57" s="3" t="s">
        <v>182</v>
      </c>
      <c r="G57" s="3">
        <v>7</v>
      </c>
      <c r="H57" s="25">
        <v>5500</v>
      </c>
      <c r="I57" s="25">
        <f t="shared" si="1"/>
        <v>38500</v>
      </c>
      <c r="J57" s="3" t="s">
        <v>15</v>
      </c>
    </row>
    <row r="58" spans="1:10" ht="14.25" customHeight="1" x14ac:dyDescent="0.3">
      <c r="A58" s="3" t="s">
        <v>273</v>
      </c>
      <c r="B58" s="7">
        <v>46102</v>
      </c>
      <c r="C58" s="3" t="s">
        <v>271</v>
      </c>
      <c r="D58" s="3" t="s">
        <v>115</v>
      </c>
      <c r="E58" s="8" t="s">
        <v>70</v>
      </c>
      <c r="F58" s="3" t="s">
        <v>108</v>
      </c>
      <c r="G58" s="3">
        <v>8</v>
      </c>
      <c r="H58" s="25">
        <v>1500</v>
      </c>
      <c r="I58" s="25">
        <f t="shared" si="1"/>
        <v>12000</v>
      </c>
      <c r="J58" s="3" t="s">
        <v>42</v>
      </c>
    </row>
    <row r="59" spans="1:10" ht="14.25" customHeight="1" x14ac:dyDescent="0.3">
      <c r="A59" s="3" t="s">
        <v>109</v>
      </c>
      <c r="B59" s="7">
        <v>46106</v>
      </c>
      <c r="C59" s="3" t="s">
        <v>74</v>
      </c>
      <c r="D59" s="3" t="s">
        <v>115</v>
      </c>
      <c r="E59" s="8" t="s">
        <v>40</v>
      </c>
      <c r="F59" s="3" t="s">
        <v>111</v>
      </c>
      <c r="G59" s="3">
        <v>5</v>
      </c>
      <c r="H59" s="25">
        <v>4000</v>
      </c>
      <c r="I59" s="25">
        <f t="shared" si="1"/>
        <v>20000</v>
      </c>
      <c r="J59" s="3" t="s">
        <v>15</v>
      </c>
    </row>
    <row r="60" spans="1:10" ht="14.25" customHeight="1" x14ac:dyDescent="0.3">
      <c r="A60" s="3" t="s">
        <v>252</v>
      </c>
      <c r="B60" s="7">
        <v>46106</v>
      </c>
      <c r="C60" s="3" t="s">
        <v>24</v>
      </c>
      <c r="D60" s="3" t="s">
        <v>150</v>
      </c>
      <c r="E60" s="8" t="s">
        <v>32</v>
      </c>
      <c r="F60" s="3" t="s">
        <v>224</v>
      </c>
      <c r="G60" s="3">
        <v>4</v>
      </c>
      <c r="H60" s="25">
        <v>9500</v>
      </c>
      <c r="I60" s="25">
        <f t="shared" si="1"/>
        <v>38000</v>
      </c>
      <c r="J60" s="3" t="s">
        <v>15</v>
      </c>
    </row>
    <row r="61" spans="1:10" ht="14.25" customHeight="1" x14ac:dyDescent="0.3">
      <c r="A61" s="3" t="s">
        <v>375</v>
      </c>
      <c r="B61" s="7">
        <v>46108</v>
      </c>
      <c r="C61" s="3" t="s">
        <v>69</v>
      </c>
      <c r="D61" s="3" t="s">
        <v>121</v>
      </c>
      <c r="E61" s="8" t="s">
        <v>70</v>
      </c>
      <c r="F61" s="3" t="s">
        <v>122</v>
      </c>
      <c r="G61" s="3">
        <v>7</v>
      </c>
      <c r="H61" s="25">
        <v>9500</v>
      </c>
      <c r="I61" s="25">
        <f t="shared" si="1"/>
        <v>66500</v>
      </c>
      <c r="J61" s="3" t="s">
        <v>15</v>
      </c>
    </row>
    <row r="62" spans="1:10" ht="14.25" customHeight="1" x14ac:dyDescent="0.3">
      <c r="A62" s="3" t="s">
        <v>299</v>
      </c>
      <c r="B62" s="7">
        <v>46109</v>
      </c>
      <c r="C62" s="3" t="s">
        <v>301</v>
      </c>
      <c r="D62" s="3" t="s">
        <v>19</v>
      </c>
      <c r="E62" s="8" t="s">
        <v>32</v>
      </c>
      <c r="F62" s="3" t="s">
        <v>224</v>
      </c>
      <c r="G62" s="3">
        <v>2</v>
      </c>
      <c r="H62" s="25">
        <v>3200</v>
      </c>
      <c r="I62" s="25">
        <f t="shared" si="1"/>
        <v>6400</v>
      </c>
      <c r="J62" s="3" t="s">
        <v>21</v>
      </c>
    </row>
    <row r="63" spans="1:10" ht="14.25" customHeight="1" x14ac:dyDescent="0.3">
      <c r="A63" s="3" t="s">
        <v>344</v>
      </c>
      <c r="B63" s="7">
        <v>46109</v>
      </c>
      <c r="C63" s="3" t="s">
        <v>209</v>
      </c>
      <c r="D63" s="3" t="s">
        <v>150</v>
      </c>
      <c r="E63" s="8" t="s">
        <v>40</v>
      </c>
      <c r="F63" s="3" t="s">
        <v>104</v>
      </c>
      <c r="G63" s="3">
        <v>1</v>
      </c>
      <c r="H63" s="25">
        <v>1500</v>
      </c>
      <c r="I63" s="25">
        <f t="shared" si="1"/>
        <v>1500</v>
      </c>
      <c r="J63" s="3" t="s">
        <v>21</v>
      </c>
    </row>
    <row r="64" spans="1:10" ht="14.25" customHeight="1" x14ac:dyDescent="0.3">
      <c r="A64" s="3" t="s">
        <v>22</v>
      </c>
      <c r="B64" s="7">
        <v>46110</v>
      </c>
      <c r="C64" s="3" t="s">
        <v>24</v>
      </c>
      <c r="D64" s="3" t="s">
        <v>150</v>
      </c>
      <c r="E64" s="8" t="s">
        <v>40</v>
      </c>
      <c r="F64" s="3" t="s">
        <v>27</v>
      </c>
      <c r="G64" s="3">
        <v>5</v>
      </c>
      <c r="H64" s="25">
        <v>1500</v>
      </c>
      <c r="I64" s="25">
        <f t="shared" si="1"/>
        <v>7500</v>
      </c>
      <c r="J64" s="3" t="s">
        <v>15</v>
      </c>
    </row>
    <row r="65" spans="1:10" ht="14.25" customHeight="1" x14ac:dyDescent="0.3">
      <c r="A65" s="3" t="s">
        <v>189</v>
      </c>
      <c r="B65" s="7">
        <v>46112</v>
      </c>
      <c r="C65" s="3" t="s">
        <v>191</v>
      </c>
      <c r="D65" s="3" t="s">
        <v>121</v>
      </c>
      <c r="E65" s="8" t="s">
        <v>70</v>
      </c>
      <c r="F65" s="3" t="s">
        <v>71</v>
      </c>
      <c r="G65" s="3">
        <v>1</v>
      </c>
      <c r="H65" s="25">
        <v>7000</v>
      </c>
      <c r="I65" s="25">
        <f t="shared" si="1"/>
        <v>7000</v>
      </c>
      <c r="J65" s="3" t="s">
        <v>21</v>
      </c>
    </row>
    <row r="66" spans="1:10" ht="14.25" customHeight="1" x14ac:dyDescent="0.3">
      <c r="A66" s="3" t="s">
        <v>166</v>
      </c>
      <c r="B66" s="7">
        <v>46113</v>
      </c>
      <c r="C66" s="3" t="s">
        <v>168</v>
      </c>
      <c r="D66" s="3" t="s">
        <v>115</v>
      </c>
      <c r="E66" s="8" t="s">
        <v>93</v>
      </c>
      <c r="F66" s="3" t="s">
        <v>169</v>
      </c>
      <c r="G66" s="3">
        <v>7</v>
      </c>
      <c r="H66" s="25">
        <v>15000</v>
      </c>
      <c r="I66" s="25">
        <f t="shared" ref="I66:I97" si="2">G66*H66</f>
        <v>105000</v>
      </c>
      <c r="J66" s="3" t="s">
        <v>42</v>
      </c>
    </row>
    <row r="67" spans="1:10" ht="14.25" customHeight="1" x14ac:dyDescent="0.3">
      <c r="A67" s="3" t="s">
        <v>143</v>
      </c>
      <c r="B67" s="7">
        <v>46115</v>
      </c>
      <c r="C67" s="3" t="s">
        <v>145</v>
      </c>
      <c r="D67" s="3" t="s">
        <v>19</v>
      </c>
      <c r="E67" s="8" t="s">
        <v>32</v>
      </c>
      <c r="F67" s="3" t="s">
        <v>146</v>
      </c>
      <c r="G67" s="3">
        <v>4</v>
      </c>
      <c r="H67" s="25">
        <v>2000</v>
      </c>
      <c r="I67" s="25">
        <f t="shared" si="2"/>
        <v>8000</v>
      </c>
      <c r="J67" s="3" t="s">
        <v>21</v>
      </c>
    </row>
    <row r="68" spans="1:10" ht="14.25" customHeight="1" x14ac:dyDescent="0.3">
      <c r="A68" s="3" t="s">
        <v>290</v>
      </c>
      <c r="B68" s="7">
        <v>46115</v>
      </c>
      <c r="C68" s="3" t="s">
        <v>292</v>
      </c>
      <c r="D68" s="3" t="s">
        <v>121</v>
      </c>
      <c r="E68" s="8" t="s">
        <v>93</v>
      </c>
      <c r="F68" s="3" t="s">
        <v>211</v>
      </c>
      <c r="G68" s="3">
        <v>8</v>
      </c>
      <c r="H68" s="25">
        <v>2500</v>
      </c>
      <c r="I68" s="25">
        <f t="shared" si="2"/>
        <v>20000</v>
      </c>
      <c r="J68" s="3" t="s">
        <v>15</v>
      </c>
    </row>
    <row r="69" spans="1:10" ht="14.25" customHeight="1" x14ac:dyDescent="0.3">
      <c r="A69" s="3" t="s">
        <v>82</v>
      </c>
      <c r="B69" s="7">
        <v>46116</v>
      </c>
      <c r="C69" s="3" t="s">
        <v>84</v>
      </c>
      <c r="D69" s="3" t="s">
        <v>150</v>
      </c>
      <c r="E69" s="8" t="s">
        <v>32</v>
      </c>
      <c r="F69" s="3" t="s">
        <v>20</v>
      </c>
      <c r="G69" s="3">
        <v>5</v>
      </c>
      <c r="H69" s="25">
        <v>2500</v>
      </c>
      <c r="I69" s="25">
        <f t="shared" si="2"/>
        <v>12500</v>
      </c>
      <c r="J69" s="3" t="s">
        <v>15</v>
      </c>
    </row>
    <row r="70" spans="1:10" ht="14.25" customHeight="1" x14ac:dyDescent="0.3">
      <c r="A70" s="3" t="s">
        <v>386</v>
      </c>
      <c r="B70" s="7">
        <v>46116</v>
      </c>
      <c r="C70" s="3" t="s">
        <v>301</v>
      </c>
      <c r="D70" s="3" t="s">
        <v>150</v>
      </c>
      <c r="E70" s="8" t="s">
        <v>40</v>
      </c>
      <c r="F70" s="3" t="s">
        <v>41</v>
      </c>
      <c r="G70" s="3">
        <v>4</v>
      </c>
      <c r="H70" s="25">
        <v>9500</v>
      </c>
      <c r="I70" s="25">
        <f t="shared" si="2"/>
        <v>38000</v>
      </c>
      <c r="J70" s="3" t="s">
        <v>42</v>
      </c>
    </row>
    <row r="71" spans="1:10" ht="14.25" customHeight="1" x14ac:dyDescent="0.3">
      <c r="A71" s="3" t="s">
        <v>256</v>
      </c>
      <c r="B71" s="7">
        <v>46117</v>
      </c>
      <c r="C71" s="3" t="s">
        <v>258</v>
      </c>
      <c r="D71" s="3" t="s">
        <v>115</v>
      </c>
      <c r="E71" s="8" t="s">
        <v>32</v>
      </c>
      <c r="F71" s="3" t="s">
        <v>57</v>
      </c>
      <c r="G71" s="3">
        <v>6</v>
      </c>
      <c r="H71" s="25">
        <v>3200</v>
      </c>
      <c r="I71" s="25">
        <f t="shared" si="2"/>
        <v>19200</v>
      </c>
      <c r="J71" s="3" t="s">
        <v>42</v>
      </c>
    </row>
    <row r="72" spans="1:10" ht="14.25" customHeight="1" x14ac:dyDescent="0.3">
      <c r="A72" s="3" t="s">
        <v>72</v>
      </c>
      <c r="B72" s="7">
        <v>46120</v>
      </c>
      <c r="C72" s="3" t="s">
        <v>74</v>
      </c>
      <c r="D72" s="3" t="s">
        <v>150</v>
      </c>
      <c r="E72" s="8" t="s">
        <v>70</v>
      </c>
      <c r="F72" s="3" t="s">
        <v>76</v>
      </c>
      <c r="G72" s="3">
        <v>2</v>
      </c>
      <c r="H72" s="25">
        <v>5500</v>
      </c>
      <c r="I72" s="25">
        <f t="shared" si="2"/>
        <v>11000</v>
      </c>
      <c r="J72" s="3" t="s">
        <v>15</v>
      </c>
    </row>
    <row r="73" spans="1:10" ht="14.25" customHeight="1" x14ac:dyDescent="0.3">
      <c r="A73" s="3" t="s">
        <v>126</v>
      </c>
      <c r="B73" s="7">
        <v>46121</v>
      </c>
      <c r="C73" s="3" t="s">
        <v>128</v>
      </c>
      <c r="D73" s="3" t="s">
        <v>19</v>
      </c>
      <c r="E73" s="8" t="s">
        <v>32</v>
      </c>
      <c r="F73" s="3" t="s">
        <v>14</v>
      </c>
      <c r="G73" s="3">
        <v>3</v>
      </c>
      <c r="H73" s="25">
        <v>9500</v>
      </c>
      <c r="I73" s="25">
        <f t="shared" si="2"/>
        <v>28500</v>
      </c>
      <c r="J73" s="3" t="s">
        <v>21</v>
      </c>
    </row>
    <row r="74" spans="1:10" ht="14.25" customHeight="1" x14ac:dyDescent="0.3">
      <c r="A74" s="3" t="s">
        <v>204</v>
      </c>
      <c r="B74" s="7">
        <v>46126</v>
      </c>
      <c r="C74" s="3" t="s">
        <v>206</v>
      </c>
      <c r="D74" s="3" t="s">
        <v>150</v>
      </c>
      <c r="E74" s="8" t="s">
        <v>32</v>
      </c>
      <c r="F74" s="3" t="s">
        <v>146</v>
      </c>
      <c r="G74" s="3">
        <v>1</v>
      </c>
      <c r="H74" s="25">
        <v>4000</v>
      </c>
      <c r="I74" s="25">
        <f t="shared" si="2"/>
        <v>4000</v>
      </c>
      <c r="J74" s="3" t="s">
        <v>15</v>
      </c>
    </row>
    <row r="75" spans="1:10" ht="14.25" customHeight="1" x14ac:dyDescent="0.3">
      <c r="A75" s="3" t="s">
        <v>400</v>
      </c>
      <c r="B75" s="7">
        <v>46128</v>
      </c>
      <c r="C75" s="3" t="s">
        <v>402</v>
      </c>
      <c r="D75" s="3" t="s">
        <v>150</v>
      </c>
      <c r="E75" s="8" t="s">
        <v>40</v>
      </c>
      <c r="F75" s="3" t="s">
        <v>41</v>
      </c>
      <c r="G75" s="3">
        <v>6</v>
      </c>
      <c r="H75" s="25">
        <v>9500</v>
      </c>
      <c r="I75" s="25">
        <f t="shared" si="2"/>
        <v>57000</v>
      </c>
      <c r="J75" s="3" t="s">
        <v>15</v>
      </c>
    </row>
    <row r="76" spans="1:10" ht="14.25" customHeight="1" x14ac:dyDescent="0.3">
      <c r="A76" s="3" t="s">
        <v>372</v>
      </c>
      <c r="B76" s="7">
        <v>46130</v>
      </c>
      <c r="C76" s="3" t="s">
        <v>374</v>
      </c>
      <c r="D76" s="3" t="s">
        <v>19</v>
      </c>
      <c r="E76" s="8" t="s">
        <v>40</v>
      </c>
      <c r="F76" s="3" t="s">
        <v>151</v>
      </c>
      <c r="G76" s="3">
        <v>4</v>
      </c>
      <c r="H76" s="25">
        <v>9500</v>
      </c>
      <c r="I76" s="25">
        <f t="shared" si="2"/>
        <v>38000</v>
      </c>
      <c r="J76" s="3" t="s">
        <v>42</v>
      </c>
    </row>
    <row r="77" spans="1:10" ht="14.25" customHeight="1" x14ac:dyDescent="0.3">
      <c r="A77" s="3" t="s">
        <v>352</v>
      </c>
      <c r="B77" s="7">
        <v>46133</v>
      </c>
      <c r="C77" s="3" t="s">
        <v>354</v>
      </c>
      <c r="D77" s="3" t="s">
        <v>150</v>
      </c>
      <c r="E77" s="8" t="s">
        <v>51</v>
      </c>
      <c r="F77" s="3" t="s">
        <v>133</v>
      </c>
      <c r="G77" s="3">
        <v>2</v>
      </c>
      <c r="H77" s="25">
        <v>4000</v>
      </c>
      <c r="I77" s="25">
        <f t="shared" si="2"/>
        <v>8000</v>
      </c>
      <c r="J77" s="3" t="s">
        <v>42</v>
      </c>
    </row>
    <row r="78" spans="1:10" ht="14.25" customHeight="1" x14ac:dyDescent="0.3">
      <c r="A78" s="3" t="s">
        <v>9</v>
      </c>
      <c r="B78" s="7">
        <v>46134</v>
      </c>
      <c r="C78" s="3" t="s">
        <v>11</v>
      </c>
      <c r="D78" s="3" t="s">
        <v>121</v>
      </c>
      <c r="E78" s="8" t="s">
        <v>32</v>
      </c>
      <c r="F78" s="3" t="s">
        <v>14</v>
      </c>
      <c r="G78" s="3">
        <v>8</v>
      </c>
      <c r="H78" s="25">
        <v>2000</v>
      </c>
      <c r="I78" s="25">
        <f t="shared" si="2"/>
        <v>16000</v>
      </c>
      <c r="J78" s="3" t="s">
        <v>15</v>
      </c>
    </row>
    <row r="79" spans="1:10" ht="14.25" customHeight="1" x14ac:dyDescent="0.3">
      <c r="A79" s="3" t="s">
        <v>284</v>
      </c>
      <c r="B79" s="7">
        <v>46134</v>
      </c>
      <c r="C79" s="3" t="s">
        <v>286</v>
      </c>
      <c r="D79" s="3" t="s">
        <v>19</v>
      </c>
      <c r="E79" s="8" t="s">
        <v>51</v>
      </c>
      <c r="F79" s="3" t="s">
        <v>272</v>
      </c>
      <c r="G79" s="3">
        <v>7</v>
      </c>
      <c r="H79" s="25">
        <v>12000</v>
      </c>
      <c r="I79" s="25">
        <f t="shared" si="2"/>
        <v>84000</v>
      </c>
      <c r="J79" s="3" t="s">
        <v>21</v>
      </c>
    </row>
    <row r="80" spans="1:10" ht="14.25" customHeight="1" x14ac:dyDescent="0.3">
      <c r="A80" s="3" t="s">
        <v>384</v>
      </c>
      <c r="B80" s="7">
        <v>46135</v>
      </c>
      <c r="C80" s="3" t="s">
        <v>191</v>
      </c>
      <c r="D80" s="3" t="s">
        <v>150</v>
      </c>
      <c r="E80" s="8" t="s">
        <v>93</v>
      </c>
      <c r="F80" s="3" t="s">
        <v>62</v>
      </c>
      <c r="G80" s="3">
        <v>3</v>
      </c>
      <c r="H80" s="25">
        <v>5500</v>
      </c>
      <c r="I80" s="25">
        <f t="shared" si="2"/>
        <v>16500</v>
      </c>
      <c r="J80" s="3" t="s">
        <v>15</v>
      </c>
    </row>
    <row r="81" spans="1:10" ht="14.25" customHeight="1" x14ac:dyDescent="0.3">
      <c r="A81" s="3" t="s">
        <v>398</v>
      </c>
      <c r="B81" s="7">
        <v>46135</v>
      </c>
      <c r="C81" s="3" t="s">
        <v>172</v>
      </c>
      <c r="D81" s="3" t="s">
        <v>150</v>
      </c>
      <c r="E81" s="8" t="s">
        <v>40</v>
      </c>
      <c r="F81" s="3" t="s">
        <v>111</v>
      </c>
      <c r="G81" s="3">
        <v>8</v>
      </c>
      <c r="H81" s="25">
        <v>2000</v>
      </c>
      <c r="I81" s="25">
        <f t="shared" si="2"/>
        <v>16000</v>
      </c>
      <c r="J81" s="3" t="s">
        <v>21</v>
      </c>
    </row>
    <row r="82" spans="1:10" ht="14.25" customHeight="1" x14ac:dyDescent="0.3">
      <c r="A82" s="3" t="s">
        <v>101</v>
      </c>
      <c r="B82" s="7">
        <v>46138</v>
      </c>
      <c r="C82" s="3" t="s">
        <v>103</v>
      </c>
      <c r="D82" s="3" t="s">
        <v>19</v>
      </c>
      <c r="E82" s="8" t="s">
        <v>40</v>
      </c>
      <c r="F82" s="3" t="s">
        <v>104</v>
      </c>
      <c r="G82" s="3">
        <v>8</v>
      </c>
      <c r="H82" s="25">
        <v>12000</v>
      </c>
      <c r="I82" s="25">
        <f t="shared" si="2"/>
        <v>96000</v>
      </c>
      <c r="J82" s="3" t="s">
        <v>15</v>
      </c>
    </row>
    <row r="83" spans="1:10" ht="14.25" customHeight="1" x14ac:dyDescent="0.3">
      <c r="A83" s="3" t="s">
        <v>366</v>
      </c>
      <c r="B83" s="7">
        <v>46138</v>
      </c>
      <c r="C83" s="3" t="s">
        <v>367</v>
      </c>
      <c r="D83" s="3" t="s">
        <v>150</v>
      </c>
      <c r="E83" s="8" t="s">
        <v>32</v>
      </c>
      <c r="F83" s="3" t="s">
        <v>224</v>
      </c>
      <c r="G83" s="3">
        <v>3</v>
      </c>
      <c r="H83" s="25">
        <v>9500</v>
      </c>
      <c r="I83" s="25">
        <f t="shared" si="2"/>
        <v>28500</v>
      </c>
      <c r="J83" s="3" t="s">
        <v>21</v>
      </c>
    </row>
    <row r="84" spans="1:10" ht="14.25" customHeight="1" x14ac:dyDescent="0.3">
      <c r="A84" s="3" t="s">
        <v>326</v>
      </c>
      <c r="B84" s="7">
        <v>46140</v>
      </c>
      <c r="C84" s="3" t="s">
        <v>328</v>
      </c>
      <c r="D84" s="3" t="s">
        <v>19</v>
      </c>
      <c r="E84" s="8" t="s">
        <v>93</v>
      </c>
      <c r="F84" s="3" t="s">
        <v>169</v>
      </c>
      <c r="G84" s="3">
        <v>2</v>
      </c>
      <c r="H84" s="25">
        <v>2000</v>
      </c>
      <c r="I84" s="25">
        <f t="shared" si="2"/>
        <v>4000</v>
      </c>
      <c r="J84" s="3" t="s">
        <v>15</v>
      </c>
    </row>
    <row r="85" spans="1:10" ht="14.25" customHeight="1" x14ac:dyDescent="0.3">
      <c r="A85" s="3" t="s">
        <v>95</v>
      </c>
      <c r="B85" s="7">
        <v>46141</v>
      </c>
      <c r="C85" s="3" t="s">
        <v>97</v>
      </c>
      <c r="D85" s="3" t="s">
        <v>150</v>
      </c>
      <c r="E85" s="8" t="s">
        <v>40</v>
      </c>
      <c r="F85" s="3" t="s">
        <v>27</v>
      </c>
      <c r="G85" s="3">
        <v>8</v>
      </c>
      <c r="H85" s="25">
        <v>15000</v>
      </c>
      <c r="I85" s="25">
        <f t="shared" si="2"/>
        <v>120000</v>
      </c>
      <c r="J85" s="3" t="s">
        <v>42</v>
      </c>
    </row>
    <row r="86" spans="1:10" ht="14.25" customHeight="1" x14ac:dyDescent="0.3">
      <c r="A86" s="3" t="s">
        <v>164</v>
      </c>
      <c r="B86" s="7">
        <v>46141</v>
      </c>
      <c r="C86" s="3" t="s">
        <v>149</v>
      </c>
      <c r="D86" s="3" t="s">
        <v>150</v>
      </c>
      <c r="E86" s="8" t="s">
        <v>32</v>
      </c>
      <c r="F86" s="3" t="s">
        <v>14</v>
      </c>
      <c r="G86" s="3">
        <v>5</v>
      </c>
      <c r="H86" s="25">
        <v>7000</v>
      </c>
      <c r="I86" s="25">
        <f t="shared" si="2"/>
        <v>35000</v>
      </c>
      <c r="J86" s="3" t="s">
        <v>42</v>
      </c>
    </row>
    <row r="87" spans="1:10" ht="14.25" customHeight="1" x14ac:dyDescent="0.3">
      <c r="A87" s="3" t="s">
        <v>302</v>
      </c>
      <c r="B87" s="7">
        <v>46141</v>
      </c>
      <c r="C87" s="3" t="s">
        <v>304</v>
      </c>
      <c r="D87" s="3" t="s">
        <v>150</v>
      </c>
      <c r="E87" s="8" t="s">
        <v>93</v>
      </c>
      <c r="F87" s="3" t="s">
        <v>211</v>
      </c>
      <c r="G87" s="3">
        <v>4</v>
      </c>
      <c r="H87" s="25">
        <v>5500</v>
      </c>
      <c r="I87" s="25">
        <f t="shared" si="2"/>
        <v>22000</v>
      </c>
      <c r="J87" s="3" t="s">
        <v>42</v>
      </c>
    </row>
    <row r="88" spans="1:10" ht="14.25" customHeight="1" x14ac:dyDescent="0.3">
      <c r="A88" s="3" t="s">
        <v>53</v>
      </c>
      <c r="B88" s="7">
        <v>46142</v>
      </c>
      <c r="C88" s="3" t="s">
        <v>55</v>
      </c>
      <c r="D88" s="3" t="s">
        <v>19</v>
      </c>
      <c r="E88" s="8" t="s">
        <v>32</v>
      </c>
      <c r="F88" s="3" t="s">
        <v>57</v>
      </c>
      <c r="G88" s="3">
        <v>5</v>
      </c>
      <c r="H88" s="25">
        <v>12000</v>
      </c>
      <c r="I88" s="25">
        <f t="shared" si="2"/>
        <v>60000</v>
      </c>
      <c r="J88" s="3" t="s">
        <v>21</v>
      </c>
    </row>
    <row r="89" spans="1:10" ht="14.25" customHeight="1" x14ac:dyDescent="0.3">
      <c r="A89" s="3" t="s">
        <v>63</v>
      </c>
      <c r="B89" s="7">
        <v>46143</v>
      </c>
      <c r="C89" s="3" t="s">
        <v>65</v>
      </c>
      <c r="D89" s="3" t="s">
        <v>19</v>
      </c>
      <c r="E89" s="8" t="s">
        <v>40</v>
      </c>
      <c r="F89" s="3" t="s">
        <v>41</v>
      </c>
      <c r="G89" s="3">
        <v>6</v>
      </c>
      <c r="H89" s="25">
        <v>4000</v>
      </c>
      <c r="I89" s="25">
        <f t="shared" si="2"/>
        <v>24000</v>
      </c>
      <c r="J89" s="3" t="s">
        <v>21</v>
      </c>
    </row>
    <row r="90" spans="1:10" ht="14.25" customHeight="1" x14ac:dyDescent="0.3">
      <c r="A90" s="3" t="s">
        <v>430</v>
      </c>
      <c r="B90" s="7">
        <v>46143</v>
      </c>
      <c r="C90" s="3" t="s">
        <v>286</v>
      </c>
      <c r="D90" s="3" t="s">
        <v>121</v>
      </c>
      <c r="E90" s="8" t="s">
        <v>51</v>
      </c>
      <c r="F90" s="3" t="s">
        <v>81</v>
      </c>
      <c r="G90" s="3">
        <v>1</v>
      </c>
      <c r="H90" s="25">
        <v>15000</v>
      </c>
      <c r="I90" s="25">
        <f t="shared" si="2"/>
        <v>15000</v>
      </c>
      <c r="J90" s="3" t="s">
        <v>42</v>
      </c>
    </row>
    <row r="91" spans="1:10" ht="14.25" customHeight="1" x14ac:dyDescent="0.3">
      <c r="A91" s="3" t="s">
        <v>201</v>
      </c>
      <c r="B91" s="7">
        <v>46146</v>
      </c>
      <c r="C91" s="3" t="s">
        <v>203</v>
      </c>
      <c r="D91" s="3" t="s">
        <v>121</v>
      </c>
      <c r="E91" s="8" t="s">
        <v>51</v>
      </c>
      <c r="F91" s="3" t="s">
        <v>81</v>
      </c>
      <c r="G91" s="3">
        <v>2</v>
      </c>
      <c r="H91" s="25">
        <v>3200</v>
      </c>
      <c r="I91" s="25">
        <f t="shared" si="2"/>
        <v>6400</v>
      </c>
      <c r="J91" s="3" t="s">
        <v>15</v>
      </c>
    </row>
    <row r="92" spans="1:10" ht="14.25" customHeight="1" x14ac:dyDescent="0.3">
      <c r="A92" s="3" t="s">
        <v>216</v>
      </c>
      <c r="B92" s="7">
        <v>46146</v>
      </c>
      <c r="C92" s="3" t="s">
        <v>218</v>
      </c>
      <c r="D92" s="3" t="s">
        <v>115</v>
      </c>
      <c r="E92" s="8" t="s">
        <v>32</v>
      </c>
      <c r="F92" s="3" t="s">
        <v>20</v>
      </c>
      <c r="G92" s="3">
        <v>5</v>
      </c>
      <c r="H92" s="25">
        <v>2000</v>
      </c>
      <c r="I92" s="25">
        <f t="shared" si="2"/>
        <v>10000</v>
      </c>
      <c r="J92" s="3" t="s">
        <v>42</v>
      </c>
    </row>
    <row r="93" spans="1:10" ht="14.25" customHeight="1" x14ac:dyDescent="0.3">
      <c r="A93" s="3" t="s">
        <v>160</v>
      </c>
      <c r="B93" s="7">
        <v>46148</v>
      </c>
      <c r="C93" s="3" t="s">
        <v>162</v>
      </c>
      <c r="D93" s="3" t="s">
        <v>150</v>
      </c>
      <c r="E93" s="8" t="s">
        <v>93</v>
      </c>
      <c r="F93" s="3" t="s">
        <v>62</v>
      </c>
      <c r="G93" s="3">
        <v>4</v>
      </c>
      <c r="H93" s="25">
        <v>12000</v>
      </c>
      <c r="I93" s="25">
        <f t="shared" si="2"/>
        <v>48000</v>
      </c>
      <c r="J93" s="3" t="s">
        <v>15</v>
      </c>
    </row>
    <row r="94" spans="1:10" ht="14.25" customHeight="1" x14ac:dyDescent="0.3">
      <c r="A94" s="3" t="s">
        <v>137</v>
      </c>
      <c r="B94" s="7">
        <v>46153</v>
      </c>
      <c r="C94" s="3" t="s">
        <v>88</v>
      </c>
      <c r="D94" s="3" t="s">
        <v>19</v>
      </c>
      <c r="E94" s="8" t="s">
        <v>70</v>
      </c>
      <c r="F94" s="3" t="s">
        <v>122</v>
      </c>
      <c r="G94" s="3">
        <v>4</v>
      </c>
      <c r="H94" s="25">
        <v>5500</v>
      </c>
      <c r="I94" s="25">
        <f t="shared" si="2"/>
        <v>22000</v>
      </c>
      <c r="J94" s="3" t="s">
        <v>15</v>
      </c>
    </row>
    <row r="95" spans="1:10" ht="14.25" customHeight="1" x14ac:dyDescent="0.3">
      <c r="A95" s="3" t="s">
        <v>118</v>
      </c>
      <c r="B95" s="7">
        <v>46155</v>
      </c>
      <c r="C95" s="3" t="s">
        <v>120</v>
      </c>
      <c r="D95" s="3" t="s">
        <v>121</v>
      </c>
      <c r="E95" s="8" t="s">
        <v>70</v>
      </c>
      <c r="F95" s="3" t="s">
        <v>122</v>
      </c>
      <c r="G95" s="3">
        <v>3</v>
      </c>
      <c r="H95" s="25">
        <v>4000</v>
      </c>
      <c r="I95" s="25">
        <f t="shared" si="2"/>
        <v>12000</v>
      </c>
      <c r="J95" s="3" t="s">
        <v>21</v>
      </c>
    </row>
    <row r="96" spans="1:10" ht="14.25" customHeight="1" x14ac:dyDescent="0.3">
      <c r="A96" s="3" t="s">
        <v>134</v>
      </c>
      <c r="B96" s="7">
        <v>46158</v>
      </c>
      <c r="C96" s="3" t="s">
        <v>136</v>
      </c>
      <c r="D96" s="3" t="s">
        <v>19</v>
      </c>
      <c r="E96" s="8" t="s">
        <v>32</v>
      </c>
      <c r="F96" s="3" t="s">
        <v>20</v>
      </c>
      <c r="G96" s="3">
        <v>4</v>
      </c>
      <c r="H96" s="25">
        <v>7000</v>
      </c>
      <c r="I96" s="25">
        <f t="shared" si="2"/>
        <v>28000</v>
      </c>
      <c r="J96" s="3" t="s">
        <v>15</v>
      </c>
    </row>
    <row r="97" spans="1:10" ht="14.25" customHeight="1" x14ac:dyDescent="0.3">
      <c r="A97" s="3" t="s">
        <v>236</v>
      </c>
      <c r="B97" s="7">
        <v>46159</v>
      </c>
      <c r="C97" s="3" t="s">
        <v>131</v>
      </c>
      <c r="D97" s="3" t="s">
        <v>150</v>
      </c>
      <c r="E97" s="8" t="s">
        <v>32</v>
      </c>
      <c r="F97" s="3" t="s">
        <v>57</v>
      </c>
      <c r="G97" s="3">
        <v>1</v>
      </c>
      <c r="H97" s="25">
        <v>7000</v>
      </c>
      <c r="I97" s="25">
        <f t="shared" si="2"/>
        <v>7000</v>
      </c>
      <c r="J97" s="3" t="s">
        <v>42</v>
      </c>
    </row>
    <row r="98" spans="1:10" ht="14.25" customHeight="1" x14ac:dyDescent="0.3">
      <c r="A98" s="3" t="s">
        <v>86</v>
      </c>
      <c r="B98" s="7">
        <v>46161</v>
      </c>
      <c r="C98" s="3" t="s">
        <v>88</v>
      </c>
      <c r="D98" s="3" t="s">
        <v>19</v>
      </c>
      <c r="E98" s="8" t="s">
        <v>70</v>
      </c>
      <c r="F98" s="3" t="s">
        <v>76</v>
      </c>
      <c r="G98" s="3">
        <v>1</v>
      </c>
      <c r="H98" s="25">
        <v>5500</v>
      </c>
      <c r="I98" s="25">
        <f t="shared" ref="I98:I129" si="3">G98*H98</f>
        <v>5500</v>
      </c>
      <c r="J98" s="3" t="s">
        <v>42</v>
      </c>
    </row>
    <row r="99" spans="1:10" ht="14.25" customHeight="1" x14ac:dyDescent="0.3">
      <c r="A99" s="3" t="s">
        <v>279</v>
      </c>
      <c r="B99" s="7">
        <v>46161</v>
      </c>
      <c r="C99" s="3" t="s">
        <v>280</v>
      </c>
      <c r="D99" s="3" t="s">
        <v>115</v>
      </c>
      <c r="E99" s="8" t="s">
        <v>70</v>
      </c>
      <c r="F99" s="3" t="s">
        <v>108</v>
      </c>
      <c r="G99" s="3">
        <v>1</v>
      </c>
      <c r="H99" s="25">
        <v>5500</v>
      </c>
      <c r="I99" s="25">
        <f t="shared" si="3"/>
        <v>5500</v>
      </c>
      <c r="J99" s="3" t="s">
        <v>21</v>
      </c>
    </row>
    <row r="100" spans="1:10" ht="14.25" customHeight="1" x14ac:dyDescent="0.3">
      <c r="A100" s="3" t="s">
        <v>219</v>
      </c>
      <c r="B100" s="7">
        <v>46162</v>
      </c>
      <c r="C100" s="3" t="s">
        <v>221</v>
      </c>
      <c r="D100" s="3" t="s">
        <v>115</v>
      </c>
      <c r="E100" s="8" t="s">
        <v>93</v>
      </c>
      <c r="F100" s="3" t="s">
        <v>169</v>
      </c>
      <c r="G100" s="3">
        <v>6</v>
      </c>
      <c r="H100" s="25">
        <v>2500</v>
      </c>
      <c r="I100" s="25">
        <f t="shared" si="3"/>
        <v>15000</v>
      </c>
      <c r="J100" s="3" t="s">
        <v>42</v>
      </c>
    </row>
    <row r="101" spans="1:10" ht="14.25" customHeight="1" x14ac:dyDescent="0.3">
      <c r="A101" s="3" t="s">
        <v>276</v>
      </c>
      <c r="B101" s="7">
        <v>46162</v>
      </c>
      <c r="C101" s="3" t="s">
        <v>243</v>
      </c>
      <c r="D101" s="3" t="s">
        <v>19</v>
      </c>
      <c r="E101" s="8" t="s">
        <v>40</v>
      </c>
      <c r="F101" s="3" t="s">
        <v>27</v>
      </c>
      <c r="G101" s="3">
        <v>1</v>
      </c>
      <c r="H101" s="25">
        <v>5500</v>
      </c>
      <c r="I101" s="25">
        <f t="shared" si="3"/>
        <v>5500</v>
      </c>
      <c r="J101" s="3" t="s">
        <v>42</v>
      </c>
    </row>
    <row r="102" spans="1:10" ht="14.25" customHeight="1" x14ac:dyDescent="0.3">
      <c r="A102" s="3" t="s">
        <v>67</v>
      </c>
      <c r="B102" s="7">
        <v>46164</v>
      </c>
      <c r="C102" s="3" t="s">
        <v>69</v>
      </c>
      <c r="D102" s="3" t="s">
        <v>115</v>
      </c>
      <c r="E102" s="8" t="s">
        <v>70</v>
      </c>
      <c r="F102" s="3" t="s">
        <v>71</v>
      </c>
      <c r="G102" s="3">
        <v>2</v>
      </c>
      <c r="H102" s="25">
        <v>12000</v>
      </c>
      <c r="I102" s="25">
        <f t="shared" si="3"/>
        <v>24000</v>
      </c>
      <c r="J102" s="3" t="s">
        <v>21</v>
      </c>
    </row>
    <row r="103" spans="1:10" ht="14.25" customHeight="1" x14ac:dyDescent="0.3">
      <c r="A103" s="3" t="s">
        <v>308</v>
      </c>
      <c r="B103" s="7">
        <v>46165</v>
      </c>
      <c r="C103" s="3" t="s">
        <v>351</v>
      </c>
      <c r="D103" s="3" t="s">
        <v>19</v>
      </c>
      <c r="E103" s="8" t="s">
        <v>32</v>
      </c>
      <c r="F103" s="3" t="s">
        <v>20</v>
      </c>
      <c r="G103" s="3">
        <v>6</v>
      </c>
      <c r="H103" s="25">
        <v>2000</v>
      </c>
      <c r="I103" s="25">
        <f t="shared" si="3"/>
        <v>12000</v>
      </c>
      <c r="J103" s="3" t="s">
        <v>15</v>
      </c>
    </row>
    <row r="104" spans="1:10" ht="14.25" customHeight="1" x14ac:dyDescent="0.3">
      <c r="A104" s="3" t="s">
        <v>358</v>
      </c>
      <c r="B104" s="7">
        <v>46165</v>
      </c>
      <c r="C104" s="3" t="s">
        <v>354</v>
      </c>
      <c r="D104" s="3" t="s">
        <v>121</v>
      </c>
      <c r="E104" s="8" t="s">
        <v>70</v>
      </c>
      <c r="F104" s="3" t="s">
        <v>108</v>
      </c>
      <c r="G104" s="3">
        <v>6</v>
      </c>
      <c r="H104" s="25">
        <v>2000</v>
      </c>
      <c r="I104" s="25">
        <f t="shared" si="3"/>
        <v>12000</v>
      </c>
      <c r="J104" s="3" t="s">
        <v>15</v>
      </c>
    </row>
    <row r="105" spans="1:10" ht="14.25" customHeight="1" x14ac:dyDescent="0.3">
      <c r="A105" s="3" t="s">
        <v>371</v>
      </c>
      <c r="B105" s="7">
        <v>46165</v>
      </c>
      <c r="C105" s="3" t="s">
        <v>103</v>
      </c>
      <c r="D105" s="3" t="s">
        <v>115</v>
      </c>
      <c r="E105" s="8" t="s">
        <v>93</v>
      </c>
      <c r="F105" s="3" t="s">
        <v>62</v>
      </c>
      <c r="G105" s="3">
        <v>7</v>
      </c>
      <c r="H105" s="25">
        <v>4000</v>
      </c>
      <c r="I105" s="25">
        <f t="shared" si="3"/>
        <v>28000</v>
      </c>
      <c r="J105" s="3" t="s">
        <v>15</v>
      </c>
    </row>
    <row r="106" spans="1:10" ht="14.25" customHeight="1" x14ac:dyDescent="0.3">
      <c r="A106" s="3" t="s">
        <v>393</v>
      </c>
      <c r="B106" s="7">
        <v>46166</v>
      </c>
      <c r="C106" s="3" t="s">
        <v>50</v>
      </c>
      <c r="D106" s="3" t="s">
        <v>121</v>
      </c>
      <c r="E106" s="8" t="s">
        <v>93</v>
      </c>
      <c r="F106" s="3" t="s">
        <v>169</v>
      </c>
      <c r="G106" s="3">
        <v>6</v>
      </c>
      <c r="H106" s="25">
        <v>9500</v>
      </c>
      <c r="I106" s="25">
        <f t="shared" si="3"/>
        <v>57000</v>
      </c>
      <c r="J106" s="3" t="s">
        <v>42</v>
      </c>
    </row>
    <row r="107" spans="1:10" ht="14.25" customHeight="1" x14ac:dyDescent="0.3">
      <c r="A107" s="3" t="s">
        <v>408</v>
      </c>
      <c r="B107" s="7">
        <v>46166</v>
      </c>
      <c r="C107" s="3" t="s">
        <v>410</v>
      </c>
      <c r="D107" s="3" t="s">
        <v>150</v>
      </c>
      <c r="E107" s="8" t="s">
        <v>93</v>
      </c>
      <c r="F107" s="3" t="s">
        <v>211</v>
      </c>
      <c r="G107" s="3">
        <v>2</v>
      </c>
      <c r="H107" s="25">
        <v>4000</v>
      </c>
      <c r="I107" s="25">
        <f t="shared" si="3"/>
        <v>8000</v>
      </c>
      <c r="J107" s="3" t="s">
        <v>15</v>
      </c>
    </row>
    <row r="108" spans="1:10" ht="14.25" customHeight="1" x14ac:dyDescent="0.3">
      <c r="A108" s="3" t="s">
        <v>417</v>
      </c>
      <c r="B108" s="7">
        <v>46166</v>
      </c>
      <c r="C108" s="3" t="s">
        <v>418</v>
      </c>
      <c r="D108" s="3" t="s">
        <v>121</v>
      </c>
      <c r="E108" s="8" t="s">
        <v>51</v>
      </c>
      <c r="F108" s="3" t="s">
        <v>52</v>
      </c>
      <c r="G108" s="3">
        <v>2</v>
      </c>
      <c r="H108" s="25">
        <v>5500</v>
      </c>
      <c r="I108" s="25">
        <f t="shared" si="3"/>
        <v>11000</v>
      </c>
      <c r="J108" s="3" t="s">
        <v>21</v>
      </c>
    </row>
    <row r="109" spans="1:10" ht="14.25" customHeight="1" x14ac:dyDescent="0.3">
      <c r="A109" s="3" t="s">
        <v>355</v>
      </c>
      <c r="B109" s="7">
        <v>46167</v>
      </c>
      <c r="C109" s="3" t="s">
        <v>445</v>
      </c>
      <c r="D109" s="3" t="s">
        <v>19</v>
      </c>
      <c r="E109" s="8" t="s">
        <v>70</v>
      </c>
      <c r="F109" s="3" t="s">
        <v>76</v>
      </c>
      <c r="G109" s="3">
        <v>1</v>
      </c>
      <c r="H109" s="25">
        <v>5500</v>
      </c>
      <c r="I109" s="25">
        <f t="shared" si="3"/>
        <v>5500</v>
      </c>
      <c r="J109" s="3" t="s">
        <v>42</v>
      </c>
    </row>
    <row r="110" spans="1:10" ht="14.25" customHeight="1" x14ac:dyDescent="0.3">
      <c r="A110" s="3" t="s">
        <v>395</v>
      </c>
      <c r="B110" s="7">
        <v>46169</v>
      </c>
      <c r="C110" s="3" t="s">
        <v>397</v>
      </c>
      <c r="D110" s="3" t="s">
        <v>115</v>
      </c>
      <c r="E110" s="8" t="s">
        <v>32</v>
      </c>
      <c r="F110" s="3" t="s">
        <v>14</v>
      </c>
      <c r="G110" s="3">
        <v>3</v>
      </c>
      <c r="H110" s="25">
        <v>12000</v>
      </c>
      <c r="I110" s="25">
        <f t="shared" si="3"/>
        <v>36000</v>
      </c>
      <c r="J110" s="3" t="s">
        <v>15</v>
      </c>
    </row>
    <row r="111" spans="1:10" ht="14.25" customHeight="1" x14ac:dyDescent="0.3">
      <c r="A111" s="3" t="s">
        <v>192</v>
      </c>
      <c r="B111" s="7">
        <v>46171</v>
      </c>
      <c r="C111" s="3" t="s">
        <v>194</v>
      </c>
      <c r="D111" s="3" t="s">
        <v>19</v>
      </c>
      <c r="E111" s="8" t="s">
        <v>40</v>
      </c>
      <c r="F111" s="3" t="s">
        <v>104</v>
      </c>
      <c r="G111" s="3">
        <v>1</v>
      </c>
      <c r="H111" s="25">
        <v>4000</v>
      </c>
      <c r="I111" s="25">
        <f t="shared" si="3"/>
        <v>4000</v>
      </c>
      <c r="J111" s="3" t="s">
        <v>42</v>
      </c>
    </row>
    <row r="112" spans="1:10" ht="14.25" customHeight="1" x14ac:dyDescent="0.3">
      <c r="A112" s="3" t="s">
        <v>331</v>
      </c>
      <c r="B112" s="7">
        <v>46177</v>
      </c>
      <c r="C112" s="3" t="s">
        <v>230</v>
      </c>
      <c r="D112" s="3" t="s">
        <v>121</v>
      </c>
      <c r="E112" s="8" t="s">
        <v>93</v>
      </c>
      <c r="F112" s="3" t="s">
        <v>333</v>
      </c>
      <c r="G112" s="3">
        <v>8</v>
      </c>
      <c r="H112" s="25">
        <v>12000</v>
      </c>
      <c r="I112" s="25">
        <f t="shared" si="3"/>
        <v>96000</v>
      </c>
      <c r="J112" s="3" t="s">
        <v>21</v>
      </c>
    </row>
    <row r="113" spans="1:10" ht="14.25" customHeight="1" x14ac:dyDescent="0.3">
      <c r="A113" s="3" t="s">
        <v>259</v>
      </c>
      <c r="B113" s="7">
        <v>46179</v>
      </c>
      <c r="C113" s="3" t="s">
        <v>446</v>
      </c>
      <c r="D113" s="3" t="s">
        <v>150</v>
      </c>
      <c r="E113" s="8" t="s">
        <v>32</v>
      </c>
      <c r="F113" s="3" t="s">
        <v>20</v>
      </c>
      <c r="G113" s="3">
        <v>7</v>
      </c>
      <c r="H113" s="25">
        <v>15000</v>
      </c>
      <c r="I113" s="25">
        <f t="shared" si="3"/>
        <v>105000</v>
      </c>
      <c r="J113" s="3" t="s">
        <v>42</v>
      </c>
    </row>
    <row r="114" spans="1:10" ht="14.25" customHeight="1" x14ac:dyDescent="0.3">
      <c r="A114" s="3" t="s">
        <v>305</v>
      </c>
      <c r="B114" s="7">
        <v>46180</v>
      </c>
      <c r="C114" s="3" t="s">
        <v>447</v>
      </c>
      <c r="D114" s="3" t="s">
        <v>19</v>
      </c>
      <c r="E114" s="8" t="s">
        <v>40</v>
      </c>
      <c r="F114" s="3" t="s">
        <v>41</v>
      </c>
      <c r="G114" s="3">
        <v>1</v>
      </c>
      <c r="H114" s="25">
        <v>12000</v>
      </c>
      <c r="I114" s="25">
        <f t="shared" si="3"/>
        <v>12000</v>
      </c>
      <c r="J114" s="3" t="s">
        <v>15</v>
      </c>
    </row>
    <row r="115" spans="1:10" ht="14.25" customHeight="1" x14ac:dyDescent="0.3">
      <c r="A115" s="3" t="s">
        <v>43</v>
      </c>
      <c r="B115" s="7">
        <v>46181</v>
      </c>
      <c r="C115" s="3" t="s">
        <v>45</v>
      </c>
      <c r="D115" s="3" t="s">
        <v>19</v>
      </c>
      <c r="E115" s="8" t="s">
        <v>40</v>
      </c>
      <c r="F115" s="3" t="s">
        <v>27</v>
      </c>
      <c r="G115" s="3">
        <v>1</v>
      </c>
      <c r="H115" s="25">
        <v>2000</v>
      </c>
      <c r="I115" s="25">
        <f t="shared" si="3"/>
        <v>2000</v>
      </c>
      <c r="J115" s="3" t="s">
        <v>15</v>
      </c>
    </row>
    <row r="116" spans="1:10" ht="14.25" customHeight="1" x14ac:dyDescent="0.3">
      <c r="A116" s="3" t="s">
        <v>318</v>
      </c>
      <c r="B116" s="7">
        <v>46183</v>
      </c>
      <c r="C116" s="3" t="s">
        <v>286</v>
      </c>
      <c r="D116" s="3" t="s">
        <v>19</v>
      </c>
      <c r="E116" s="8" t="s">
        <v>51</v>
      </c>
      <c r="F116" s="3" t="s">
        <v>133</v>
      </c>
      <c r="G116" s="3">
        <v>4</v>
      </c>
      <c r="H116" s="25">
        <v>4000</v>
      </c>
      <c r="I116" s="25">
        <f t="shared" si="3"/>
        <v>16000</v>
      </c>
      <c r="J116" s="3" t="s">
        <v>42</v>
      </c>
    </row>
    <row r="117" spans="1:10" ht="14.25" customHeight="1" x14ac:dyDescent="0.3">
      <c r="A117" s="3" t="s">
        <v>295</v>
      </c>
      <c r="B117" s="7">
        <v>46183</v>
      </c>
      <c r="C117" s="3" t="s">
        <v>79</v>
      </c>
      <c r="D117" s="3" t="s">
        <v>121</v>
      </c>
      <c r="E117" s="8" t="s">
        <v>40</v>
      </c>
      <c r="F117" s="3" t="s">
        <v>151</v>
      </c>
      <c r="G117" s="3">
        <v>5</v>
      </c>
      <c r="H117" s="25">
        <v>4000</v>
      </c>
      <c r="I117" s="25">
        <f t="shared" si="3"/>
        <v>20000</v>
      </c>
      <c r="J117" s="3" t="s">
        <v>15</v>
      </c>
    </row>
    <row r="118" spans="1:10" ht="14.25" customHeight="1" x14ac:dyDescent="0.3">
      <c r="A118" s="3" t="s">
        <v>267</v>
      </c>
      <c r="B118" s="7">
        <v>46184</v>
      </c>
      <c r="C118" s="3" t="s">
        <v>218</v>
      </c>
      <c r="D118" s="3" t="s">
        <v>121</v>
      </c>
      <c r="E118" s="8" t="s">
        <v>70</v>
      </c>
      <c r="F118" s="3" t="s">
        <v>71</v>
      </c>
      <c r="G118" s="3">
        <v>5</v>
      </c>
      <c r="H118" s="25">
        <v>4000</v>
      </c>
      <c r="I118" s="25">
        <f t="shared" si="3"/>
        <v>20000</v>
      </c>
      <c r="J118" s="3" t="s">
        <v>42</v>
      </c>
    </row>
    <row r="119" spans="1:10" ht="14.25" customHeight="1" x14ac:dyDescent="0.3">
      <c r="A119" s="3" t="s">
        <v>270</v>
      </c>
      <c r="B119" s="7">
        <v>46184</v>
      </c>
      <c r="C119" s="3" t="s">
        <v>271</v>
      </c>
      <c r="D119" s="3" t="s">
        <v>121</v>
      </c>
      <c r="E119" s="8" t="s">
        <v>51</v>
      </c>
      <c r="F119" s="3" t="s">
        <v>272</v>
      </c>
      <c r="G119" s="3">
        <v>4</v>
      </c>
      <c r="H119" s="25">
        <v>2500</v>
      </c>
      <c r="I119" s="25">
        <f t="shared" si="3"/>
        <v>10000</v>
      </c>
      <c r="J119" s="3" t="s">
        <v>15</v>
      </c>
    </row>
    <row r="120" spans="1:10" ht="14.25" customHeight="1" x14ac:dyDescent="0.3">
      <c r="A120" s="3" t="s">
        <v>152</v>
      </c>
      <c r="B120" s="7">
        <v>46185</v>
      </c>
      <c r="C120" s="3" t="s">
        <v>154</v>
      </c>
      <c r="D120" s="3" t="s">
        <v>19</v>
      </c>
      <c r="E120" s="8" t="s">
        <v>40</v>
      </c>
      <c r="F120" s="3" t="s">
        <v>41</v>
      </c>
      <c r="G120" s="3">
        <v>7</v>
      </c>
      <c r="H120" s="25">
        <v>5500</v>
      </c>
      <c r="I120" s="25">
        <f t="shared" si="3"/>
        <v>38500</v>
      </c>
      <c r="J120" s="3" t="s">
        <v>15</v>
      </c>
    </row>
    <row r="121" spans="1:10" ht="14.25" customHeight="1" x14ac:dyDescent="0.3">
      <c r="A121" s="3" t="s">
        <v>176</v>
      </c>
      <c r="B121" s="7">
        <v>46185</v>
      </c>
      <c r="C121" s="3" t="s">
        <v>214</v>
      </c>
      <c r="D121" s="3" t="s">
        <v>115</v>
      </c>
      <c r="E121" s="8" t="s">
        <v>40</v>
      </c>
      <c r="F121" s="3" t="s">
        <v>27</v>
      </c>
      <c r="G121" s="3">
        <v>5</v>
      </c>
      <c r="H121" s="25">
        <v>2500</v>
      </c>
      <c r="I121" s="25">
        <f t="shared" si="3"/>
        <v>12500</v>
      </c>
      <c r="J121" s="3" t="s">
        <v>42</v>
      </c>
    </row>
    <row r="122" spans="1:10" ht="14.25" customHeight="1" x14ac:dyDescent="0.3">
      <c r="A122" s="3" t="s">
        <v>212</v>
      </c>
      <c r="B122" s="7">
        <v>46186</v>
      </c>
      <c r="C122" s="3" t="s">
        <v>214</v>
      </c>
      <c r="D122" s="3" t="s">
        <v>121</v>
      </c>
      <c r="E122" s="8" t="s">
        <v>70</v>
      </c>
      <c r="F122" s="3" t="s">
        <v>215</v>
      </c>
      <c r="G122" s="3">
        <v>5</v>
      </c>
      <c r="H122" s="25">
        <v>12000</v>
      </c>
      <c r="I122" s="25">
        <f t="shared" si="3"/>
        <v>60000</v>
      </c>
      <c r="J122" s="3" t="s">
        <v>15</v>
      </c>
    </row>
    <row r="123" spans="1:10" ht="14.25" customHeight="1" x14ac:dyDescent="0.3">
      <c r="A123" s="3" t="s">
        <v>415</v>
      </c>
      <c r="B123" s="7">
        <v>46186</v>
      </c>
      <c r="C123" s="3" t="s">
        <v>416</v>
      </c>
      <c r="D123" s="3" t="s">
        <v>150</v>
      </c>
      <c r="E123" s="8" t="s">
        <v>70</v>
      </c>
      <c r="F123" s="3" t="s">
        <v>215</v>
      </c>
      <c r="G123" s="3">
        <v>4</v>
      </c>
      <c r="H123" s="25">
        <v>5500</v>
      </c>
      <c r="I123" s="25">
        <f t="shared" si="3"/>
        <v>22000</v>
      </c>
      <c r="J123" s="3" t="s">
        <v>21</v>
      </c>
    </row>
    <row r="124" spans="1:10" ht="14.25" customHeight="1" x14ac:dyDescent="0.3">
      <c r="A124" s="3" t="s">
        <v>250</v>
      </c>
      <c r="B124" s="7">
        <v>46187</v>
      </c>
      <c r="C124" s="3" t="s">
        <v>128</v>
      </c>
      <c r="D124" s="3" t="s">
        <v>115</v>
      </c>
      <c r="E124" s="8" t="s">
        <v>40</v>
      </c>
      <c r="F124" s="3" t="s">
        <v>104</v>
      </c>
      <c r="G124" s="3">
        <v>8</v>
      </c>
      <c r="H124" s="25">
        <v>2500</v>
      </c>
      <c r="I124" s="25">
        <f t="shared" si="3"/>
        <v>20000</v>
      </c>
      <c r="J124" s="3" t="s">
        <v>15</v>
      </c>
    </row>
    <row r="125" spans="1:10" ht="14.25" customHeight="1" x14ac:dyDescent="0.3">
      <c r="A125" s="3" t="s">
        <v>262</v>
      </c>
      <c r="B125" s="7">
        <v>46188</v>
      </c>
      <c r="C125" s="3" t="s">
        <v>194</v>
      </c>
      <c r="D125" s="3" t="s">
        <v>19</v>
      </c>
      <c r="E125" s="8" t="s">
        <v>93</v>
      </c>
      <c r="F125" s="3" t="s">
        <v>94</v>
      </c>
      <c r="G125" s="3">
        <v>2</v>
      </c>
      <c r="H125" s="25">
        <v>15000</v>
      </c>
      <c r="I125" s="25">
        <f t="shared" si="3"/>
        <v>30000</v>
      </c>
      <c r="J125" s="3" t="s">
        <v>42</v>
      </c>
    </row>
    <row r="126" spans="1:10" ht="14.25" customHeight="1" x14ac:dyDescent="0.3">
      <c r="A126" s="3" t="s">
        <v>179</v>
      </c>
      <c r="B126" s="7">
        <v>46189</v>
      </c>
      <c r="C126" s="3" t="s">
        <v>103</v>
      </c>
      <c r="D126" s="3" t="s">
        <v>150</v>
      </c>
      <c r="E126" s="8" t="s">
        <v>51</v>
      </c>
      <c r="F126" s="3" t="s">
        <v>182</v>
      </c>
      <c r="G126" s="3">
        <v>6</v>
      </c>
      <c r="H126" s="25">
        <v>2500</v>
      </c>
      <c r="I126" s="25">
        <f t="shared" si="3"/>
        <v>15000</v>
      </c>
      <c r="J126" s="3" t="s">
        <v>21</v>
      </c>
    </row>
    <row r="127" spans="1:10" ht="14.25" customHeight="1" x14ac:dyDescent="0.3">
      <c r="A127" s="3" t="s">
        <v>329</v>
      </c>
      <c r="B127" s="7">
        <v>46190</v>
      </c>
      <c r="C127" s="3" t="s">
        <v>330</v>
      </c>
      <c r="D127" s="3" t="s">
        <v>121</v>
      </c>
      <c r="E127" s="8" t="s">
        <v>40</v>
      </c>
      <c r="F127" s="3" t="s">
        <v>27</v>
      </c>
      <c r="G127" s="3">
        <v>3</v>
      </c>
      <c r="H127" s="25">
        <v>2000</v>
      </c>
      <c r="I127" s="25">
        <f t="shared" si="3"/>
        <v>6000</v>
      </c>
      <c r="J127" s="3" t="s">
        <v>15</v>
      </c>
    </row>
    <row r="128" spans="1:10" ht="14.25" customHeight="1" x14ac:dyDescent="0.3">
      <c r="A128" s="3" t="s">
        <v>391</v>
      </c>
      <c r="B128" s="7">
        <v>46192</v>
      </c>
      <c r="C128" s="3" t="s">
        <v>107</v>
      </c>
      <c r="D128" s="3" t="s">
        <v>115</v>
      </c>
      <c r="E128" s="8" t="s">
        <v>70</v>
      </c>
      <c r="F128" s="3" t="s">
        <v>215</v>
      </c>
      <c r="G128" s="3">
        <v>7</v>
      </c>
      <c r="H128" s="25">
        <v>12000</v>
      </c>
      <c r="I128" s="25">
        <f t="shared" si="3"/>
        <v>84000</v>
      </c>
      <c r="J128" s="3" t="s">
        <v>21</v>
      </c>
    </row>
    <row r="129" spans="1:10" ht="14.25" customHeight="1" x14ac:dyDescent="0.3">
      <c r="A129" s="3" t="s">
        <v>238</v>
      </c>
      <c r="B129" s="7">
        <v>46193</v>
      </c>
      <c r="C129" s="3" t="s">
        <v>448</v>
      </c>
      <c r="D129" s="3" t="s">
        <v>115</v>
      </c>
      <c r="E129" s="8" t="s">
        <v>93</v>
      </c>
      <c r="F129" s="3" t="s">
        <v>62</v>
      </c>
      <c r="G129" s="3">
        <v>7</v>
      </c>
      <c r="H129" s="25">
        <v>1500</v>
      </c>
      <c r="I129" s="25">
        <f t="shared" si="3"/>
        <v>10500</v>
      </c>
      <c r="J129" s="3" t="s">
        <v>15</v>
      </c>
    </row>
    <row r="130" spans="1:10" ht="14.25" customHeight="1" x14ac:dyDescent="0.3">
      <c r="A130" s="3" t="s">
        <v>16</v>
      </c>
      <c r="B130" s="7">
        <v>46194</v>
      </c>
      <c r="C130" s="3" t="s">
        <v>18</v>
      </c>
      <c r="D130" s="3" t="s">
        <v>19</v>
      </c>
      <c r="E130" s="8" t="s">
        <v>32</v>
      </c>
      <c r="F130" s="3" t="s">
        <v>20</v>
      </c>
      <c r="G130" s="3">
        <v>4</v>
      </c>
      <c r="H130" s="25">
        <v>4000</v>
      </c>
      <c r="I130" s="25">
        <f t="shared" ref="I130:I135" si="4">G130*H130</f>
        <v>16000</v>
      </c>
      <c r="J130" s="3" t="s">
        <v>21</v>
      </c>
    </row>
    <row r="131" spans="1:10" ht="14.25" customHeight="1" x14ac:dyDescent="0.3">
      <c r="A131" s="3" t="s">
        <v>388</v>
      </c>
      <c r="B131" s="7">
        <v>46198</v>
      </c>
      <c r="C131" s="3" t="s">
        <v>390</v>
      </c>
      <c r="D131" s="3" t="s">
        <v>121</v>
      </c>
      <c r="E131" s="8" t="s">
        <v>93</v>
      </c>
      <c r="F131" s="3" t="s">
        <v>94</v>
      </c>
      <c r="G131" s="3">
        <v>1</v>
      </c>
      <c r="H131" s="25">
        <v>15000</v>
      </c>
      <c r="I131" s="25">
        <f t="shared" si="4"/>
        <v>15000</v>
      </c>
      <c r="J131" s="3" t="s">
        <v>42</v>
      </c>
    </row>
    <row r="132" spans="1:10" ht="14.25" customHeight="1" x14ac:dyDescent="0.3">
      <c r="A132" s="3" t="s">
        <v>432</v>
      </c>
      <c r="B132" s="7">
        <v>46198</v>
      </c>
      <c r="C132" s="3" t="s">
        <v>434</v>
      </c>
      <c r="D132" s="3" t="s">
        <v>121</v>
      </c>
      <c r="E132" s="8" t="s">
        <v>32</v>
      </c>
      <c r="F132" s="3" t="s">
        <v>20</v>
      </c>
      <c r="G132" s="3">
        <v>6</v>
      </c>
      <c r="H132" s="25">
        <v>12000</v>
      </c>
      <c r="I132" s="25">
        <f t="shared" si="4"/>
        <v>72000</v>
      </c>
      <c r="J132" s="3" t="s">
        <v>42</v>
      </c>
    </row>
    <row r="133" spans="1:10" ht="14.25" customHeight="1" x14ac:dyDescent="0.3">
      <c r="A133" s="3" t="s">
        <v>380</v>
      </c>
      <c r="B133" s="7">
        <v>46199</v>
      </c>
      <c r="C133" s="3" t="s">
        <v>382</v>
      </c>
      <c r="D133" s="3" t="s">
        <v>115</v>
      </c>
      <c r="E133" s="8" t="s">
        <v>40</v>
      </c>
      <c r="F133" s="3" t="s">
        <v>41</v>
      </c>
      <c r="G133" s="3">
        <v>5</v>
      </c>
      <c r="H133" s="25">
        <v>7000</v>
      </c>
      <c r="I133" s="25">
        <f t="shared" si="4"/>
        <v>35000</v>
      </c>
      <c r="J133" s="3" t="s">
        <v>15</v>
      </c>
    </row>
    <row r="134" spans="1:10" ht="14.25" customHeight="1" x14ac:dyDescent="0.3">
      <c r="A134" s="3" t="s">
        <v>349</v>
      </c>
      <c r="B134" s="7">
        <v>46200</v>
      </c>
      <c r="C134" s="3" t="s">
        <v>351</v>
      </c>
      <c r="D134" s="3" t="s">
        <v>19</v>
      </c>
      <c r="E134" s="8" t="s">
        <v>93</v>
      </c>
      <c r="F134" s="3" t="s">
        <v>94</v>
      </c>
      <c r="G134" s="3">
        <v>4</v>
      </c>
      <c r="H134" s="25">
        <v>4000</v>
      </c>
      <c r="I134" s="25">
        <f t="shared" si="4"/>
        <v>16000</v>
      </c>
      <c r="J134" s="3" t="s">
        <v>42</v>
      </c>
    </row>
    <row r="135" spans="1:10" ht="14.25" customHeight="1" x14ac:dyDescent="0.3">
      <c r="A135" s="3" t="s">
        <v>186</v>
      </c>
      <c r="B135" s="7">
        <v>46201</v>
      </c>
      <c r="C135" s="3" t="s">
        <v>188</v>
      </c>
      <c r="D135" s="3" t="s">
        <v>19</v>
      </c>
      <c r="E135" s="8" t="s">
        <v>51</v>
      </c>
      <c r="F135" s="3" t="s">
        <v>182</v>
      </c>
      <c r="G135" s="3">
        <v>3</v>
      </c>
      <c r="H135" s="25">
        <v>9500</v>
      </c>
      <c r="I135" s="25">
        <f t="shared" si="4"/>
        <v>28500</v>
      </c>
      <c r="J135" s="3" t="s">
        <v>21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FB73F-DB74-47A5-BA97-7B7E420BBF65}">
  <dimension ref="A1:G27"/>
  <sheetViews>
    <sheetView topLeftCell="A20" zoomScale="89" zoomScaleNormal="89" workbookViewId="0">
      <selection activeCell="M23" sqref="M23"/>
    </sheetView>
  </sheetViews>
  <sheetFormatPr defaultRowHeight="14.4" x14ac:dyDescent="0.3"/>
  <cols>
    <col min="1" max="1" width="21" customWidth="1"/>
    <col min="2" max="2" width="19.21875" customWidth="1"/>
    <col min="3" max="3" width="14.109375" style="18" bestFit="1" customWidth="1"/>
    <col min="4" max="4" width="19.6640625" bestFit="1" customWidth="1"/>
    <col min="5" max="5" width="8.5546875" bestFit="1" customWidth="1"/>
    <col min="6" max="6" width="8" bestFit="1" customWidth="1"/>
    <col min="7" max="7" width="18.6640625" bestFit="1" customWidth="1"/>
    <col min="8" max="8" width="15.6640625" bestFit="1" customWidth="1"/>
    <col min="9" max="9" width="12.5546875" bestFit="1" customWidth="1"/>
    <col min="10" max="10" width="11.6640625" bestFit="1" customWidth="1"/>
    <col min="11" max="11" width="7.5546875" bestFit="1" customWidth="1"/>
    <col min="12" max="12" width="10" bestFit="1" customWidth="1"/>
    <col min="13" max="13" width="8.77734375" bestFit="1" customWidth="1"/>
    <col min="14" max="14" width="14.77734375" bestFit="1" customWidth="1"/>
    <col min="15" max="15" width="10.77734375" bestFit="1" customWidth="1"/>
  </cols>
  <sheetData>
    <row r="1" spans="1:7" ht="21" customHeight="1" x14ac:dyDescent="0.3">
      <c r="A1" s="21" t="s">
        <v>463</v>
      </c>
      <c r="B1" s="22"/>
      <c r="C1" s="22"/>
      <c r="D1" s="22"/>
      <c r="E1" s="22"/>
      <c r="F1" s="22"/>
      <c r="G1" s="22"/>
    </row>
    <row r="2" spans="1:7" ht="18" customHeight="1" x14ac:dyDescent="0.3">
      <c r="A2" s="23" t="s">
        <v>464</v>
      </c>
      <c r="B2" s="22"/>
      <c r="C2" s="22"/>
      <c r="D2" s="22"/>
      <c r="E2" s="22"/>
      <c r="F2" s="22"/>
      <c r="G2" s="22"/>
    </row>
    <row r="3" spans="1:7" ht="16.8" x14ac:dyDescent="0.3">
      <c r="C3" s="14" t="s">
        <v>460</v>
      </c>
    </row>
    <row r="4" spans="1:7" ht="15.6" x14ac:dyDescent="0.3">
      <c r="C4" s="12" t="s">
        <v>3</v>
      </c>
      <c r="D4" s="13" t="s">
        <v>457</v>
      </c>
      <c r="E4" s="13" t="s">
        <v>456</v>
      </c>
    </row>
    <row r="5" spans="1:7" x14ac:dyDescent="0.3">
      <c r="C5" s="16" t="s">
        <v>150</v>
      </c>
      <c r="D5" s="10">
        <v>788700</v>
      </c>
      <c r="E5" s="28">
        <v>28</v>
      </c>
    </row>
    <row r="6" spans="1:7" x14ac:dyDescent="0.3">
      <c r="C6" s="16" t="s">
        <v>121</v>
      </c>
      <c r="D6" s="10">
        <v>853800</v>
      </c>
      <c r="E6" s="28">
        <v>35</v>
      </c>
    </row>
    <row r="7" spans="1:7" x14ac:dyDescent="0.3">
      <c r="C7" s="16" t="s">
        <v>19</v>
      </c>
      <c r="D7" s="10">
        <v>960300</v>
      </c>
      <c r="E7" s="28">
        <v>40</v>
      </c>
    </row>
    <row r="8" spans="1:7" x14ac:dyDescent="0.3">
      <c r="C8" s="16" t="s">
        <v>115</v>
      </c>
      <c r="D8" s="10">
        <v>823800</v>
      </c>
      <c r="E8" s="28">
        <v>31</v>
      </c>
      <c r="G8" s="9"/>
    </row>
    <row r="9" spans="1:7" ht="15.6" x14ac:dyDescent="0.3">
      <c r="C9" s="17" t="s">
        <v>449</v>
      </c>
      <c r="D9" s="11">
        <v>3426600</v>
      </c>
      <c r="E9" s="29">
        <v>134</v>
      </c>
      <c r="G9" s="9"/>
    </row>
    <row r="11" spans="1:7" ht="16.8" x14ac:dyDescent="0.3">
      <c r="C11" s="14" t="s">
        <v>461</v>
      </c>
      <c r="D11" s="9"/>
      <c r="E11" s="9"/>
    </row>
    <row r="12" spans="1:7" ht="15.6" x14ac:dyDescent="0.3">
      <c r="C12" s="12" t="s">
        <v>4</v>
      </c>
      <c r="D12" s="13" t="s">
        <v>459</v>
      </c>
      <c r="E12" s="13" t="s">
        <v>458</v>
      </c>
    </row>
    <row r="13" spans="1:7" x14ac:dyDescent="0.3">
      <c r="C13" s="16" t="s">
        <v>51</v>
      </c>
      <c r="D13" s="10">
        <v>448000</v>
      </c>
      <c r="E13" s="28">
        <v>21</v>
      </c>
    </row>
    <row r="14" spans="1:7" x14ac:dyDescent="0.3">
      <c r="C14" s="16" t="s">
        <v>40</v>
      </c>
      <c r="D14" s="10">
        <v>915400</v>
      </c>
      <c r="E14" s="28">
        <v>34</v>
      </c>
    </row>
    <row r="15" spans="1:7" x14ac:dyDescent="0.3">
      <c r="C15" s="16" t="s">
        <v>93</v>
      </c>
      <c r="D15" s="10">
        <v>731700</v>
      </c>
      <c r="E15" s="28">
        <v>24</v>
      </c>
    </row>
    <row r="16" spans="1:7" x14ac:dyDescent="0.3">
      <c r="C16" s="16" t="s">
        <v>70</v>
      </c>
      <c r="D16" s="10">
        <v>516000</v>
      </c>
      <c r="E16" s="28">
        <v>23</v>
      </c>
    </row>
    <row r="17" spans="3:7" x14ac:dyDescent="0.3">
      <c r="C17" s="16" t="s">
        <v>32</v>
      </c>
      <c r="D17" s="10">
        <v>815500</v>
      </c>
      <c r="E17" s="28">
        <v>32</v>
      </c>
    </row>
    <row r="18" spans="3:7" x14ac:dyDescent="0.3">
      <c r="C18" s="16" t="s">
        <v>449</v>
      </c>
      <c r="D18" s="10">
        <v>3426600</v>
      </c>
      <c r="E18" s="28">
        <v>134</v>
      </c>
    </row>
    <row r="19" spans="3:7" ht="16.8" x14ac:dyDescent="0.3">
      <c r="C19" s="15" t="s">
        <v>462</v>
      </c>
    </row>
    <row r="20" spans="3:7" ht="15.6" x14ac:dyDescent="0.3">
      <c r="C20" s="12" t="s">
        <v>4</v>
      </c>
      <c r="D20" s="13" t="s">
        <v>459</v>
      </c>
    </row>
    <row r="21" spans="3:7" x14ac:dyDescent="0.3">
      <c r="C21" s="16" t="s">
        <v>450</v>
      </c>
      <c r="D21" s="10">
        <v>454300</v>
      </c>
    </row>
    <row r="22" spans="3:7" x14ac:dyDescent="0.3">
      <c r="C22" s="16" t="s">
        <v>451</v>
      </c>
      <c r="D22" s="10">
        <v>330900</v>
      </c>
      <c r="G22" s="9"/>
    </row>
    <row r="23" spans="3:7" x14ac:dyDescent="0.3">
      <c r="C23" s="16" t="s">
        <v>452</v>
      </c>
      <c r="D23" s="10">
        <v>630800</v>
      </c>
    </row>
    <row r="24" spans="3:7" x14ac:dyDescent="0.3">
      <c r="C24" s="16" t="s">
        <v>453</v>
      </c>
      <c r="D24" s="10">
        <v>847200</v>
      </c>
    </row>
    <row r="25" spans="3:7" x14ac:dyDescent="0.3">
      <c r="C25" s="16" t="s">
        <v>454</v>
      </c>
      <c r="D25" s="10">
        <v>401400</v>
      </c>
    </row>
    <row r="26" spans="3:7" x14ac:dyDescent="0.3">
      <c r="C26" s="16" t="s">
        <v>455</v>
      </c>
      <c r="D26" s="10">
        <v>762000</v>
      </c>
    </row>
    <row r="27" spans="3:7" x14ac:dyDescent="0.3">
      <c r="C27" s="16" t="s">
        <v>449</v>
      </c>
      <c r="D27" s="10">
        <v>3426600</v>
      </c>
    </row>
  </sheetData>
  <mergeCells count="2">
    <mergeCell ref="A1:G1"/>
    <mergeCell ref="A2:G2"/>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Raw Data</vt:lpstr>
      <vt:lpstr>Clean Data</vt:lpstr>
      <vt:lpstr>Pivot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elijahbonny23@gmail.com</dc:creator>
  <dc:description/>
  <cp:lastModifiedBy>elijahbonny23@gmail.com</cp:lastModifiedBy>
  <cp:revision>0</cp:revision>
  <dcterms:created xsi:type="dcterms:W3CDTF">2026-07-18T18:54:39Z</dcterms:created>
  <dcterms:modified xsi:type="dcterms:W3CDTF">2026-07-19T10:33:38Z</dcterms:modified>
  <dc:language>en-US</dc:language>
</cp:coreProperties>
</file>